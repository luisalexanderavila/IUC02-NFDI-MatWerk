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GFS03\G13a\OE5_PRO\VH5205_NFDI-MatWerk\06_Referenzmaterial CMSX-6\Zenodo-Veröffentlichung\ZENODO_Creep-reference-data-CMSX-6_v1.0\"/>
    </mc:Choice>
  </mc:AlternateContent>
  <xr:revisionPtr revIDLastSave="0" documentId="13_ncr:1_{B5152790-795A-4C97-B6B3-79C410BEE198}" xr6:coauthVersionLast="47" xr6:coauthVersionMax="47" xr10:uidLastSave="{00000000-0000-0000-0000-000000000000}"/>
  <bookViews>
    <workbookView xWindow="-28920" yWindow="-120" windowWidth="29040" windowHeight="17640" tabRatio="695" xr2:uid="{BA90F930-90A6-4E46-9AA2-F6FE66E9D6AB}"/>
  </bookViews>
  <sheets>
    <sheet name="Data-Schema-Creep_v1.1" sheetId="39" r:id="rId1"/>
    <sheet name="Vh5205_C-85" sheetId="47" r:id="rId2"/>
    <sheet name="Vh5205_C-94" sheetId="46" r:id="rId3"/>
    <sheet name="Vh5205_C-95" sheetId="56" r:id="rId4"/>
    <sheet name="Vh5205_C-81" sheetId="55" r:id="rId5"/>
    <sheet name="Vh5205_C-91" sheetId="45" r:id="rId6"/>
    <sheet name="Vh5205_C-98" sheetId="54" r:id="rId7"/>
    <sheet name="Vh5205_C-82" sheetId="49" r:id="rId8"/>
    <sheet name="Vh5205_C-97" sheetId="52" r:id="rId9"/>
    <sheet name="Vh5205_C-99" sheetId="53" r:id="rId10"/>
    <sheet name="Vh5205_C-78" sheetId="51" r:id="rId11"/>
    <sheet name="Vh5205_C-80" sheetId="50" r:id="rId12"/>
    <sheet name="Vh5205_C-89" sheetId="48" r:id="rId13"/>
    <sheet name="Heat_treatment" sheetId="57" r:id="rId14"/>
    <sheet name="Single_crystal_orientation" sheetId="43" r:id="rId15"/>
    <sheet name="Roughness" sheetId="44" r:id="rId16"/>
    <sheet name="Ch.-Comp._nominal" sheetId="31" r:id="rId17"/>
    <sheet name="Ch.-Comp._measured" sheetId="32" r:id="rId18"/>
    <sheet name="Rp0.2" sheetId="34" r:id="rId19"/>
    <sheet name="Loading" sheetId="37" r:id="rId20"/>
    <sheet name="Data-acquisition" sheetId="35" r:id="rId21"/>
    <sheet name="Data-acquisition-creep" sheetId="38" r:id="rId22"/>
    <sheet name="Primary-processed-data-series" sheetId="40" r:id="rId23"/>
    <sheet name="Data-processing" sheetId="42" r:id="rId24"/>
  </sheets>
  <definedNames>
    <definedName name="_xlnm._FilterDatabase" localSheetId="0" hidden="1">'Data-Schema-Creep_v1.1'!$A$8:$L$218</definedName>
    <definedName name="_xlnm._FilterDatabase" localSheetId="10" hidden="1">'Vh5205_C-78'!$A$3:$F$213</definedName>
    <definedName name="_xlnm._FilterDatabase" localSheetId="11" hidden="1">'Vh5205_C-80'!$A$3:$F$213</definedName>
    <definedName name="_xlnm._FilterDatabase" localSheetId="4" hidden="1">'Vh5205_C-81'!$A$3:$F$213</definedName>
    <definedName name="_xlnm._FilterDatabase" localSheetId="7" hidden="1">'Vh5205_C-82'!$A$3:$F$213</definedName>
    <definedName name="_xlnm._FilterDatabase" localSheetId="1" hidden="1">'Vh5205_C-85'!$A$3:$F$213</definedName>
    <definedName name="_xlnm._FilterDatabase" localSheetId="12" hidden="1">'Vh5205_C-89'!$A$3:$F$213</definedName>
    <definedName name="_xlnm._FilterDatabase" localSheetId="5" hidden="1">'Vh5205_C-91'!$A$3:$F$213</definedName>
    <definedName name="_xlnm._FilterDatabase" localSheetId="2" hidden="1">'Vh5205_C-94'!$A$3:$F$213</definedName>
    <definedName name="_xlnm._FilterDatabase" localSheetId="3" hidden="1">'Vh5205_C-95'!$A$3:$F$213</definedName>
    <definedName name="_xlnm._FilterDatabase" localSheetId="8" hidden="1">'Vh5205_C-97'!$A$3:$F$213</definedName>
    <definedName name="_xlnm._FilterDatabase" localSheetId="6" hidden="1">'Vh5205_C-98'!$A$3:$F$213</definedName>
    <definedName name="_xlnm._FilterDatabase" localSheetId="9" hidden="1">'Vh5205_C-99'!$A$3:$F$213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56" l="1"/>
  <c r="J6" i="56"/>
  <c r="J7" i="56"/>
  <c r="J8" i="56"/>
  <c r="J9" i="56"/>
  <c r="J10" i="56"/>
  <c r="J11" i="56"/>
  <c r="J12" i="56"/>
  <c r="J13" i="56"/>
  <c r="J14" i="56"/>
  <c r="J15" i="56"/>
  <c r="J16" i="56"/>
  <c r="J17" i="56"/>
  <c r="J18" i="56"/>
  <c r="J19" i="56"/>
  <c r="J20" i="56"/>
  <c r="J21" i="56"/>
  <c r="J22" i="56"/>
  <c r="J23" i="56"/>
  <c r="J24" i="56"/>
  <c r="J25" i="56"/>
  <c r="J26" i="56"/>
  <c r="J27" i="56"/>
  <c r="J28" i="56"/>
  <c r="J29" i="56"/>
  <c r="J30" i="56"/>
  <c r="J31" i="56"/>
  <c r="J32" i="56"/>
  <c r="J33" i="56"/>
  <c r="J34" i="56"/>
  <c r="J35" i="56"/>
  <c r="J36" i="56"/>
  <c r="J37" i="56"/>
  <c r="J38" i="56"/>
  <c r="J39" i="56"/>
  <c r="J40" i="56"/>
  <c r="J41" i="56"/>
  <c r="J42" i="56"/>
  <c r="J43" i="56"/>
  <c r="J44" i="56"/>
  <c r="J45" i="56"/>
  <c r="J46" i="56"/>
  <c r="J47" i="56"/>
  <c r="J48" i="56"/>
  <c r="J49" i="56"/>
  <c r="J50" i="56"/>
  <c r="J51" i="56"/>
  <c r="J52" i="56"/>
  <c r="J53" i="56"/>
  <c r="J54" i="56"/>
  <c r="J55" i="56"/>
  <c r="J56" i="56"/>
  <c r="J57" i="56"/>
  <c r="J58" i="56"/>
  <c r="J59" i="56"/>
  <c r="J60" i="56"/>
  <c r="J61" i="56"/>
  <c r="J62" i="56"/>
  <c r="J63" i="56"/>
  <c r="J64" i="56"/>
  <c r="J65" i="56"/>
  <c r="J66" i="56"/>
  <c r="J67" i="56"/>
  <c r="J68" i="56"/>
  <c r="J69" i="56"/>
  <c r="J70" i="56"/>
  <c r="J71" i="56"/>
  <c r="J72" i="56"/>
  <c r="J73" i="56"/>
  <c r="J74" i="56"/>
  <c r="J75" i="56"/>
  <c r="J76" i="56"/>
  <c r="J77" i="56"/>
  <c r="J78" i="56"/>
  <c r="J79" i="56"/>
  <c r="J80" i="56"/>
  <c r="J81" i="56"/>
  <c r="J82" i="56"/>
  <c r="J83" i="56"/>
  <c r="J84" i="56"/>
  <c r="J85" i="56"/>
  <c r="J86" i="56"/>
  <c r="J87" i="56"/>
  <c r="J88" i="56"/>
  <c r="J89" i="56"/>
  <c r="J90" i="56"/>
  <c r="J91" i="56"/>
  <c r="J92" i="56"/>
  <c r="J93" i="56"/>
  <c r="J94" i="56"/>
  <c r="J95" i="56"/>
  <c r="J96" i="56"/>
  <c r="J97" i="56"/>
  <c r="J98" i="56"/>
  <c r="J99" i="56"/>
  <c r="J100" i="56"/>
  <c r="J101" i="56"/>
  <c r="J102" i="56"/>
  <c r="J103" i="56"/>
  <c r="J104" i="56"/>
  <c r="J105" i="56"/>
  <c r="J106" i="56"/>
  <c r="J107" i="56"/>
  <c r="J108" i="56"/>
  <c r="J109" i="56"/>
  <c r="J110" i="56"/>
  <c r="J111" i="56"/>
  <c r="J112" i="56"/>
  <c r="J113" i="56"/>
  <c r="J114" i="56"/>
  <c r="J115" i="56"/>
  <c r="J116" i="56"/>
  <c r="J117" i="56"/>
  <c r="J118" i="56"/>
  <c r="J119" i="56"/>
  <c r="J120" i="56"/>
  <c r="J121" i="56"/>
  <c r="J122" i="56"/>
  <c r="J123" i="56"/>
  <c r="J124" i="56"/>
  <c r="J125" i="56"/>
  <c r="J126" i="56"/>
  <c r="J127" i="56"/>
  <c r="J128" i="56"/>
  <c r="J129" i="56"/>
  <c r="J130" i="56"/>
  <c r="J131" i="56"/>
  <c r="J132" i="56"/>
  <c r="J133" i="56"/>
  <c r="J134" i="56"/>
  <c r="J135" i="56"/>
  <c r="J136" i="56"/>
  <c r="J137" i="56"/>
  <c r="J138" i="56"/>
  <c r="J139" i="56"/>
  <c r="J140" i="56"/>
  <c r="J141" i="56"/>
  <c r="J142" i="56"/>
  <c r="J143" i="56"/>
  <c r="J144" i="56"/>
  <c r="J145" i="56"/>
  <c r="J146" i="56"/>
  <c r="J147" i="56"/>
  <c r="J148" i="56"/>
  <c r="J149" i="56"/>
  <c r="J150" i="56"/>
  <c r="J151" i="56"/>
  <c r="J152" i="56"/>
  <c r="J153" i="56"/>
  <c r="J154" i="56"/>
  <c r="J155" i="56"/>
  <c r="J156" i="56"/>
  <c r="J157" i="56"/>
  <c r="J158" i="56"/>
  <c r="J159" i="56"/>
  <c r="J160" i="56"/>
  <c r="J161" i="56"/>
  <c r="J162" i="56"/>
  <c r="J163" i="56"/>
  <c r="J164" i="56"/>
  <c r="J165" i="56"/>
  <c r="J166" i="56"/>
  <c r="J167" i="56"/>
  <c r="J168" i="56"/>
  <c r="J169" i="56"/>
  <c r="J170" i="56"/>
  <c r="J171" i="56"/>
  <c r="J172" i="56"/>
  <c r="J173" i="56"/>
  <c r="J174" i="56"/>
  <c r="J175" i="56"/>
  <c r="J176" i="56"/>
  <c r="J177" i="56"/>
  <c r="J178" i="56"/>
  <c r="J179" i="56"/>
  <c r="J180" i="56"/>
  <c r="J181" i="56"/>
  <c r="J182" i="56"/>
  <c r="J183" i="56"/>
  <c r="J184" i="56"/>
  <c r="J185" i="56"/>
  <c r="J186" i="56"/>
  <c r="J187" i="56"/>
  <c r="J188" i="56"/>
  <c r="J189" i="56"/>
  <c r="J190" i="56"/>
  <c r="J191" i="56"/>
  <c r="J192" i="56"/>
  <c r="J193" i="56"/>
  <c r="J194" i="56"/>
  <c r="J195" i="56"/>
  <c r="J196" i="56"/>
  <c r="J197" i="56"/>
  <c r="J198" i="56"/>
  <c r="J199" i="56"/>
  <c r="J200" i="56"/>
  <c r="J201" i="56"/>
  <c r="J202" i="56"/>
  <c r="J203" i="56"/>
  <c r="J204" i="56"/>
  <c r="J205" i="56"/>
  <c r="J206" i="56"/>
  <c r="J207" i="56"/>
  <c r="J208" i="56"/>
  <c r="J209" i="56"/>
  <c r="J210" i="56"/>
  <c r="J211" i="56"/>
  <c r="J212" i="56"/>
  <c r="J213" i="56"/>
  <c r="J4" i="56"/>
  <c r="J5" i="45"/>
  <c r="J6" i="45"/>
  <c r="J7" i="45"/>
  <c r="J8" i="45"/>
  <c r="J9" i="45"/>
  <c r="J10" i="45"/>
  <c r="J11" i="45"/>
  <c r="J12" i="45"/>
  <c r="J13" i="45"/>
  <c r="J14" i="45"/>
  <c r="J15" i="45"/>
  <c r="J16" i="45"/>
  <c r="J17" i="45"/>
  <c r="J18" i="45"/>
  <c r="J19" i="45"/>
  <c r="J20" i="45"/>
  <c r="J21" i="45"/>
  <c r="J22" i="45"/>
  <c r="J23" i="45"/>
  <c r="J24" i="45"/>
  <c r="J25" i="45"/>
  <c r="J26" i="45"/>
  <c r="J27" i="45"/>
  <c r="J28" i="45"/>
  <c r="J29" i="45"/>
  <c r="J30" i="45"/>
  <c r="J31" i="45"/>
  <c r="J32" i="45"/>
  <c r="J33" i="45"/>
  <c r="J34" i="45"/>
  <c r="J35" i="45"/>
  <c r="J36" i="45"/>
  <c r="J37" i="45"/>
  <c r="J38" i="45"/>
  <c r="J39" i="45"/>
  <c r="J40" i="45"/>
  <c r="J41" i="45"/>
  <c r="J42" i="45"/>
  <c r="J43" i="45"/>
  <c r="J44" i="45"/>
  <c r="J45" i="45"/>
  <c r="J46" i="45"/>
  <c r="J47" i="45"/>
  <c r="J48" i="45"/>
  <c r="J49" i="45"/>
  <c r="J50" i="45"/>
  <c r="J51" i="45"/>
  <c r="J52" i="45"/>
  <c r="J53" i="45"/>
  <c r="J54" i="45"/>
  <c r="J55" i="45"/>
  <c r="J56" i="45"/>
  <c r="J57" i="45"/>
  <c r="J58" i="45"/>
  <c r="J59" i="45"/>
  <c r="J60" i="45"/>
  <c r="J61" i="45"/>
  <c r="J62" i="45"/>
  <c r="J63" i="45"/>
  <c r="J64" i="45"/>
  <c r="J65" i="45"/>
  <c r="J66" i="45"/>
  <c r="J67" i="45"/>
  <c r="J68" i="45"/>
  <c r="J69" i="45"/>
  <c r="J70" i="45"/>
  <c r="J71" i="45"/>
  <c r="J72" i="45"/>
  <c r="J73" i="45"/>
  <c r="J74" i="45"/>
  <c r="J75" i="45"/>
  <c r="J76" i="45"/>
  <c r="J77" i="45"/>
  <c r="J78" i="45"/>
  <c r="J79" i="45"/>
  <c r="J80" i="45"/>
  <c r="J81" i="45"/>
  <c r="J82" i="45"/>
  <c r="J83" i="45"/>
  <c r="J84" i="45"/>
  <c r="J85" i="45"/>
  <c r="J86" i="45"/>
  <c r="J87" i="45"/>
  <c r="J88" i="45"/>
  <c r="J89" i="45"/>
  <c r="J90" i="45"/>
  <c r="J91" i="45"/>
  <c r="J92" i="45"/>
  <c r="J93" i="45"/>
  <c r="J94" i="45"/>
  <c r="J95" i="45"/>
  <c r="J96" i="45"/>
  <c r="J97" i="45"/>
  <c r="J98" i="45"/>
  <c r="J99" i="45"/>
  <c r="J100" i="45"/>
  <c r="J101" i="45"/>
  <c r="J102" i="45"/>
  <c r="J103" i="45"/>
  <c r="J104" i="45"/>
  <c r="J105" i="45"/>
  <c r="J106" i="45"/>
  <c r="J107" i="45"/>
  <c r="J108" i="45"/>
  <c r="J109" i="45"/>
  <c r="J110" i="45"/>
  <c r="J111" i="45"/>
  <c r="J112" i="45"/>
  <c r="J113" i="45"/>
  <c r="J114" i="45"/>
  <c r="J115" i="45"/>
  <c r="J116" i="45"/>
  <c r="J117" i="45"/>
  <c r="J118" i="45"/>
  <c r="J119" i="45"/>
  <c r="J120" i="45"/>
  <c r="J121" i="45"/>
  <c r="J122" i="45"/>
  <c r="J123" i="45"/>
  <c r="J124" i="45"/>
  <c r="J125" i="45"/>
  <c r="J126" i="45"/>
  <c r="J127" i="45"/>
  <c r="J128" i="45"/>
  <c r="J129" i="45"/>
  <c r="J130" i="45"/>
  <c r="J131" i="45"/>
  <c r="J132" i="45"/>
  <c r="J133" i="45"/>
  <c r="J134" i="45"/>
  <c r="J135" i="45"/>
  <c r="J136" i="45"/>
  <c r="J137" i="45"/>
  <c r="J138" i="45"/>
  <c r="J139" i="45"/>
  <c r="J140" i="45"/>
  <c r="J141" i="45"/>
  <c r="J142" i="45"/>
  <c r="J143" i="45"/>
  <c r="J144" i="45"/>
  <c r="J145" i="45"/>
  <c r="J146" i="45"/>
  <c r="J147" i="45"/>
  <c r="J148" i="45"/>
  <c r="J149" i="45"/>
  <c r="J150" i="45"/>
  <c r="J151" i="45"/>
  <c r="J152" i="45"/>
  <c r="J153" i="45"/>
  <c r="J154" i="45"/>
  <c r="J155" i="45"/>
  <c r="J156" i="45"/>
  <c r="J157" i="45"/>
  <c r="J158" i="45"/>
  <c r="J159" i="45"/>
  <c r="J160" i="45"/>
  <c r="J161" i="45"/>
  <c r="J162" i="45"/>
  <c r="J163" i="45"/>
  <c r="J164" i="45"/>
  <c r="J165" i="45"/>
  <c r="J166" i="45"/>
  <c r="J167" i="45"/>
  <c r="J168" i="45"/>
  <c r="J169" i="45"/>
  <c r="J170" i="45"/>
  <c r="J171" i="45"/>
  <c r="J172" i="45"/>
  <c r="J173" i="45"/>
  <c r="J174" i="45"/>
  <c r="J175" i="45"/>
  <c r="J176" i="45"/>
  <c r="J177" i="45"/>
  <c r="J178" i="45"/>
  <c r="J179" i="45"/>
  <c r="J180" i="45"/>
  <c r="J181" i="45"/>
  <c r="J182" i="45"/>
  <c r="J183" i="45"/>
  <c r="J184" i="45"/>
  <c r="J185" i="45"/>
  <c r="J186" i="45"/>
  <c r="J187" i="45"/>
  <c r="J188" i="45"/>
  <c r="J189" i="45"/>
  <c r="J190" i="45"/>
  <c r="J191" i="45"/>
  <c r="J192" i="45"/>
  <c r="J193" i="45"/>
  <c r="J194" i="45"/>
  <c r="J195" i="45"/>
  <c r="J196" i="45"/>
  <c r="J197" i="45"/>
  <c r="J198" i="45"/>
  <c r="J199" i="45"/>
  <c r="J200" i="45"/>
  <c r="J201" i="45"/>
  <c r="J202" i="45"/>
  <c r="J203" i="45"/>
  <c r="J204" i="45"/>
  <c r="J205" i="45"/>
  <c r="J206" i="45"/>
  <c r="J207" i="45"/>
  <c r="J208" i="45"/>
  <c r="J209" i="45"/>
  <c r="J210" i="45"/>
  <c r="J211" i="45"/>
  <c r="J212" i="45"/>
  <c r="J213" i="45"/>
  <c r="J4" i="45"/>
  <c r="J5" i="49"/>
  <c r="J6" i="49"/>
  <c r="J7" i="49"/>
  <c r="J8" i="49"/>
  <c r="J9" i="49"/>
  <c r="J10" i="49"/>
  <c r="J11" i="49"/>
  <c r="J12" i="49"/>
  <c r="J13" i="49"/>
  <c r="J14"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66" i="49"/>
  <c r="J67" i="49"/>
  <c r="J68" i="49"/>
  <c r="J69" i="49"/>
  <c r="J70"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96" i="49"/>
  <c r="J97" i="49"/>
  <c r="J98" i="49"/>
  <c r="J99" i="49"/>
  <c r="J100" i="49"/>
  <c r="J101" i="49"/>
  <c r="J102" i="49"/>
  <c r="J103" i="49"/>
  <c r="J104" i="49"/>
  <c r="J105" i="49"/>
  <c r="J106" i="49"/>
  <c r="J107" i="49"/>
  <c r="J108" i="49"/>
  <c r="J109" i="49"/>
  <c r="J110" i="49"/>
  <c r="J111" i="49"/>
  <c r="J112" i="49"/>
  <c r="J113" i="49"/>
  <c r="J114" i="49"/>
  <c r="J115" i="49"/>
  <c r="J116" i="49"/>
  <c r="J117" i="49"/>
  <c r="J118" i="49"/>
  <c r="J119" i="49"/>
  <c r="J120" i="49"/>
  <c r="J121" i="49"/>
  <c r="J122" i="49"/>
  <c r="J123" i="49"/>
  <c r="J124" i="49"/>
  <c r="J125" i="49"/>
  <c r="J126" i="49"/>
  <c r="J127" i="49"/>
  <c r="J128" i="49"/>
  <c r="J129" i="49"/>
  <c r="J130" i="49"/>
  <c r="J131" i="49"/>
  <c r="J132" i="49"/>
  <c r="J133"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J196" i="49"/>
  <c r="J197" i="49"/>
  <c r="J198" i="49"/>
  <c r="J199" i="49"/>
  <c r="J200" i="49"/>
  <c r="J201" i="49"/>
  <c r="J202" i="49"/>
  <c r="J203" i="49"/>
  <c r="J204" i="49"/>
  <c r="J205" i="49"/>
  <c r="J206" i="49"/>
  <c r="J207" i="49"/>
  <c r="J208" i="49"/>
  <c r="J209" i="49"/>
  <c r="J210" i="49"/>
  <c r="J211" i="49"/>
  <c r="J212" i="49"/>
  <c r="J213" i="49"/>
  <c r="J4" i="49"/>
  <c r="J5" i="54"/>
  <c r="J6" i="54"/>
  <c r="J7" i="54"/>
  <c r="J8" i="54"/>
  <c r="J9" i="54"/>
  <c r="J10" i="54"/>
  <c r="J11" i="54"/>
  <c r="J12" i="54"/>
  <c r="J13" i="54"/>
  <c r="J14" i="54"/>
  <c r="J15" i="54"/>
  <c r="J16" i="54"/>
  <c r="J17" i="54"/>
  <c r="J18" i="54"/>
  <c r="J19" i="54"/>
  <c r="J20" i="54"/>
  <c r="J21" i="54"/>
  <c r="J22" i="54"/>
  <c r="J23" i="54"/>
  <c r="J24" i="54"/>
  <c r="J25" i="54"/>
  <c r="J26" i="54"/>
  <c r="J27" i="54"/>
  <c r="J28" i="54"/>
  <c r="J29" i="54"/>
  <c r="J30" i="54"/>
  <c r="J31" i="54"/>
  <c r="J32" i="54"/>
  <c r="J33" i="54"/>
  <c r="J34" i="54"/>
  <c r="J35" i="54"/>
  <c r="J36" i="54"/>
  <c r="J37" i="54"/>
  <c r="J38" i="54"/>
  <c r="J39" i="54"/>
  <c r="J40" i="54"/>
  <c r="J41" i="54"/>
  <c r="J42" i="54"/>
  <c r="J43" i="54"/>
  <c r="J44" i="54"/>
  <c r="J45" i="54"/>
  <c r="J46" i="54"/>
  <c r="J47" i="54"/>
  <c r="J48" i="54"/>
  <c r="J49" i="54"/>
  <c r="J50" i="54"/>
  <c r="J51" i="54"/>
  <c r="J52" i="54"/>
  <c r="J53" i="54"/>
  <c r="J54" i="54"/>
  <c r="J55" i="54"/>
  <c r="J56" i="54"/>
  <c r="J57" i="54"/>
  <c r="J58" i="54"/>
  <c r="J59" i="54"/>
  <c r="J60" i="54"/>
  <c r="J61" i="54"/>
  <c r="J62" i="54"/>
  <c r="J63" i="54"/>
  <c r="J64" i="54"/>
  <c r="J65" i="54"/>
  <c r="J66" i="54"/>
  <c r="J67" i="54"/>
  <c r="J68" i="54"/>
  <c r="J69" i="54"/>
  <c r="J70" i="54"/>
  <c r="J71" i="54"/>
  <c r="J72" i="54"/>
  <c r="J73" i="54"/>
  <c r="J74" i="54"/>
  <c r="J75" i="54"/>
  <c r="J76" i="54"/>
  <c r="J77" i="54"/>
  <c r="J78" i="54"/>
  <c r="J79" i="54"/>
  <c r="J80" i="54"/>
  <c r="J81" i="54"/>
  <c r="J82" i="54"/>
  <c r="J83" i="54"/>
  <c r="J84" i="54"/>
  <c r="J85" i="54"/>
  <c r="J86" i="54"/>
  <c r="J87" i="54"/>
  <c r="J88" i="54"/>
  <c r="J89" i="54"/>
  <c r="J90" i="54"/>
  <c r="J91" i="54"/>
  <c r="J92" i="54"/>
  <c r="J93" i="54"/>
  <c r="J94" i="54"/>
  <c r="J95" i="54"/>
  <c r="J96" i="54"/>
  <c r="J97" i="54"/>
  <c r="J98" i="54"/>
  <c r="J99" i="54"/>
  <c r="J100" i="54"/>
  <c r="J101" i="54"/>
  <c r="J102" i="54"/>
  <c r="J103" i="54"/>
  <c r="J104" i="54"/>
  <c r="J105" i="54"/>
  <c r="J106" i="54"/>
  <c r="J107" i="54"/>
  <c r="J108" i="54"/>
  <c r="J109" i="54"/>
  <c r="J110" i="54"/>
  <c r="J111" i="54"/>
  <c r="J112" i="54"/>
  <c r="J113" i="54"/>
  <c r="J114" i="54"/>
  <c r="J115" i="54"/>
  <c r="J116" i="54"/>
  <c r="J117" i="54"/>
  <c r="J118" i="54"/>
  <c r="J119" i="54"/>
  <c r="J120" i="54"/>
  <c r="J121" i="54"/>
  <c r="J122" i="54"/>
  <c r="J123" i="54"/>
  <c r="J124" i="54"/>
  <c r="J125" i="54"/>
  <c r="J126" i="54"/>
  <c r="J127" i="54"/>
  <c r="J128" i="54"/>
  <c r="J129" i="54"/>
  <c r="J130" i="54"/>
  <c r="J131" i="54"/>
  <c r="J132" i="54"/>
  <c r="J133" i="54"/>
  <c r="J134" i="54"/>
  <c r="J135" i="54"/>
  <c r="J136" i="54"/>
  <c r="J137" i="54"/>
  <c r="J138" i="54"/>
  <c r="J139" i="54"/>
  <c r="J140" i="54"/>
  <c r="J141" i="54"/>
  <c r="J142" i="54"/>
  <c r="J143" i="54"/>
  <c r="J144" i="54"/>
  <c r="J145" i="54"/>
  <c r="J146" i="54"/>
  <c r="J147" i="54"/>
  <c r="J148" i="54"/>
  <c r="J149" i="54"/>
  <c r="J150" i="54"/>
  <c r="J151" i="54"/>
  <c r="J152" i="54"/>
  <c r="J153" i="54"/>
  <c r="J154" i="54"/>
  <c r="J155" i="54"/>
  <c r="J156" i="54"/>
  <c r="J157" i="54"/>
  <c r="J158" i="54"/>
  <c r="J159" i="54"/>
  <c r="J160" i="54"/>
  <c r="J161" i="54"/>
  <c r="J162" i="54"/>
  <c r="J163" i="54"/>
  <c r="J164" i="54"/>
  <c r="J165" i="54"/>
  <c r="J166" i="54"/>
  <c r="J167" i="54"/>
  <c r="J168" i="54"/>
  <c r="J169" i="54"/>
  <c r="J170" i="54"/>
  <c r="J171" i="54"/>
  <c r="J172" i="54"/>
  <c r="J173" i="54"/>
  <c r="J174" i="54"/>
  <c r="J175" i="54"/>
  <c r="J176" i="54"/>
  <c r="J177" i="54"/>
  <c r="J178" i="54"/>
  <c r="J179" i="54"/>
  <c r="J180" i="54"/>
  <c r="J181" i="54"/>
  <c r="J182" i="54"/>
  <c r="J183" i="54"/>
  <c r="J184" i="54"/>
  <c r="J185" i="54"/>
  <c r="J186" i="54"/>
  <c r="J187" i="54"/>
  <c r="J188" i="54"/>
  <c r="J189" i="54"/>
  <c r="J190" i="54"/>
  <c r="J191" i="54"/>
  <c r="J192" i="54"/>
  <c r="J193" i="54"/>
  <c r="J194" i="54"/>
  <c r="J195" i="54"/>
  <c r="J196" i="54"/>
  <c r="J197" i="54"/>
  <c r="J198" i="54"/>
  <c r="J199" i="54"/>
  <c r="J200" i="54"/>
  <c r="J201" i="54"/>
  <c r="J202" i="54"/>
  <c r="J203" i="54"/>
  <c r="J204" i="54"/>
  <c r="J205" i="54"/>
  <c r="J206" i="54"/>
  <c r="J207" i="54"/>
  <c r="J208" i="54"/>
  <c r="J209" i="54"/>
  <c r="J210" i="54"/>
  <c r="J211" i="54"/>
  <c r="J212" i="54"/>
  <c r="J213" i="54"/>
  <c r="J4" i="54"/>
  <c r="J5" i="47"/>
  <c r="J6" i="47"/>
  <c r="J7" i="47"/>
  <c r="J8" i="47"/>
  <c r="J9" i="47"/>
  <c r="J10" i="47"/>
  <c r="J11" i="47"/>
  <c r="J12" i="47"/>
  <c r="J13" i="47"/>
  <c r="J14" i="47"/>
  <c r="J15" i="47"/>
  <c r="J16" i="47"/>
  <c r="J17" i="47"/>
  <c r="J18" i="47"/>
  <c r="J19" i="47"/>
  <c r="J20" i="47"/>
  <c r="J21" i="47"/>
  <c r="J22" i="47"/>
  <c r="J23" i="47"/>
  <c r="J24" i="47"/>
  <c r="J25" i="47"/>
  <c r="J26" i="47"/>
  <c r="J27" i="47"/>
  <c r="J28" i="47"/>
  <c r="J29" i="47"/>
  <c r="J30" i="47"/>
  <c r="J31" i="47"/>
  <c r="J32" i="47"/>
  <c r="J33" i="47"/>
  <c r="J34" i="47"/>
  <c r="J35" i="47"/>
  <c r="J36" i="47"/>
  <c r="J37" i="47"/>
  <c r="J38" i="47"/>
  <c r="J39" i="47"/>
  <c r="J40" i="47"/>
  <c r="J41" i="47"/>
  <c r="J42" i="47"/>
  <c r="J43" i="47"/>
  <c r="J44" i="47"/>
  <c r="J45" i="47"/>
  <c r="J46" i="47"/>
  <c r="J47" i="47"/>
  <c r="J48" i="47"/>
  <c r="J49" i="47"/>
  <c r="J50" i="47"/>
  <c r="J51" i="47"/>
  <c r="J52" i="47"/>
  <c r="J53" i="47"/>
  <c r="J54" i="47"/>
  <c r="J55" i="47"/>
  <c r="J56" i="47"/>
  <c r="J57" i="47"/>
  <c r="J58" i="47"/>
  <c r="J59" i="47"/>
  <c r="J60" i="47"/>
  <c r="J61" i="47"/>
  <c r="J62" i="47"/>
  <c r="J63" i="47"/>
  <c r="J64" i="47"/>
  <c r="J65" i="47"/>
  <c r="J66" i="47"/>
  <c r="J67" i="47"/>
  <c r="J68" i="47"/>
  <c r="J69" i="47"/>
  <c r="J70" i="47"/>
  <c r="J71" i="47"/>
  <c r="J72" i="47"/>
  <c r="J73" i="47"/>
  <c r="J74" i="47"/>
  <c r="J75" i="47"/>
  <c r="J76" i="47"/>
  <c r="J77" i="47"/>
  <c r="J78" i="47"/>
  <c r="J79" i="47"/>
  <c r="J80" i="47"/>
  <c r="J81" i="47"/>
  <c r="J82" i="47"/>
  <c r="J83" i="47"/>
  <c r="J84" i="47"/>
  <c r="J85" i="47"/>
  <c r="J86" i="47"/>
  <c r="J87" i="47"/>
  <c r="J88" i="47"/>
  <c r="J89" i="47"/>
  <c r="J90" i="47"/>
  <c r="J91" i="47"/>
  <c r="J92" i="47"/>
  <c r="J93" i="47"/>
  <c r="J94" i="47"/>
  <c r="J95" i="47"/>
  <c r="J96" i="47"/>
  <c r="J97" i="47"/>
  <c r="J98" i="47"/>
  <c r="J99" i="47"/>
  <c r="J100" i="47"/>
  <c r="J101" i="47"/>
  <c r="J102" i="47"/>
  <c r="J103" i="47"/>
  <c r="J104" i="47"/>
  <c r="J105" i="47"/>
  <c r="J106" i="47"/>
  <c r="J107" i="47"/>
  <c r="J108" i="47"/>
  <c r="J109" i="47"/>
  <c r="J110" i="47"/>
  <c r="J111" i="47"/>
  <c r="J112" i="47"/>
  <c r="J113" i="47"/>
  <c r="J114" i="47"/>
  <c r="J115" i="47"/>
  <c r="J116" i="47"/>
  <c r="J117" i="47"/>
  <c r="J118" i="47"/>
  <c r="J119" i="47"/>
  <c r="J120" i="47"/>
  <c r="J121" i="47"/>
  <c r="J122" i="47"/>
  <c r="J123" i="47"/>
  <c r="J124" i="47"/>
  <c r="J125" i="47"/>
  <c r="J126" i="47"/>
  <c r="J127" i="47"/>
  <c r="J128" i="47"/>
  <c r="J129" i="47"/>
  <c r="J130" i="47"/>
  <c r="J131" i="47"/>
  <c r="J132" i="47"/>
  <c r="J133" i="47"/>
  <c r="J134" i="47"/>
  <c r="J135" i="47"/>
  <c r="J136" i="47"/>
  <c r="J137" i="47"/>
  <c r="J138" i="47"/>
  <c r="J139" i="47"/>
  <c r="J140" i="47"/>
  <c r="J141" i="47"/>
  <c r="J142" i="47"/>
  <c r="J143" i="47"/>
  <c r="J144" i="47"/>
  <c r="J145" i="47"/>
  <c r="J146" i="47"/>
  <c r="J147" i="47"/>
  <c r="J148" i="47"/>
  <c r="J149" i="47"/>
  <c r="J150" i="47"/>
  <c r="J151" i="47"/>
  <c r="J152" i="47"/>
  <c r="J153" i="47"/>
  <c r="J154" i="47"/>
  <c r="J155" i="47"/>
  <c r="J156" i="47"/>
  <c r="J157" i="47"/>
  <c r="J158" i="47"/>
  <c r="J159" i="47"/>
  <c r="J160" i="47"/>
  <c r="J161" i="47"/>
  <c r="J162" i="47"/>
  <c r="J163" i="47"/>
  <c r="J164" i="47"/>
  <c r="J165" i="47"/>
  <c r="J166" i="47"/>
  <c r="J167" i="47"/>
  <c r="J168" i="47"/>
  <c r="J169" i="47"/>
  <c r="J170" i="47"/>
  <c r="J171" i="47"/>
  <c r="J172" i="47"/>
  <c r="J173" i="47"/>
  <c r="J174" i="47"/>
  <c r="J175" i="47"/>
  <c r="J176" i="47"/>
  <c r="J177" i="47"/>
  <c r="J178" i="47"/>
  <c r="J179" i="47"/>
  <c r="J180" i="47"/>
  <c r="J181" i="47"/>
  <c r="J182" i="47"/>
  <c r="J183" i="47"/>
  <c r="J184" i="47"/>
  <c r="J185" i="47"/>
  <c r="J186" i="47"/>
  <c r="J187" i="47"/>
  <c r="J188" i="47"/>
  <c r="J189" i="47"/>
  <c r="J190" i="47"/>
  <c r="J191" i="47"/>
  <c r="J192" i="47"/>
  <c r="J193" i="47"/>
  <c r="J194" i="47"/>
  <c r="J195" i="47"/>
  <c r="J196" i="47"/>
  <c r="J197" i="47"/>
  <c r="J198" i="47"/>
  <c r="J199" i="47"/>
  <c r="J200" i="47"/>
  <c r="J201" i="47"/>
  <c r="J202" i="47"/>
  <c r="J203" i="47"/>
  <c r="J204" i="47"/>
  <c r="J205" i="47"/>
  <c r="J206" i="47"/>
  <c r="J207" i="47"/>
  <c r="J208" i="47"/>
  <c r="J209" i="47"/>
  <c r="J210" i="47"/>
  <c r="J211" i="47"/>
  <c r="J212" i="47"/>
  <c r="J213" i="47"/>
  <c r="J4" i="47"/>
  <c r="J5" i="48"/>
  <c r="J6" i="48"/>
  <c r="J7" i="48"/>
  <c r="J8" i="48"/>
  <c r="J9" i="48"/>
  <c r="J10" i="48"/>
  <c r="J11" i="48"/>
  <c r="J12" i="48"/>
  <c r="J13" i="48"/>
  <c r="J14" i="48"/>
  <c r="J15" i="48"/>
  <c r="J16" i="48"/>
  <c r="J17" i="48"/>
  <c r="J18" i="48"/>
  <c r="J19" i="48"/>
  <c r="J20" i="48"/>
  <c r="J21" i="48"/>
  <c r="J22" i="48"/>
  <c r="J23" i="48"/>
  <c r="J24" i="48"/>
  <c r="J25" i="48"/>
  <c r="J26" i="48"/>
  <c r="J27" i="48"/>
  <c r="J28" i="48"/>
  <c r="J29" i="48"/>
  <c r="J30" i="48"/>
  <c r="J31" i="48"/>
  <c r="J32" i="48"/>
  <c r="J33" i="48"/>
  <c r="J34" i="48"/>
  <c r="J35" i="48"/>
  <c r="J36" i="48"/>
  <c r="J37" i="48"/>
  <c r="J38" i="48"/>
  <c r="J39" i="48"/>
  <c r="J40" i="48"/>
  <c r="J41" i="48"/>
  <c r="J42" i="48"/>
  <c r="J43" i="48"/>
  <c r="J44" i="48"/>
  <c r="J45" i="48"/>
  <c r="J46" i="48"/>
  <c r="J47" i="48"/>
  <c r="J48" i="48"/>
  <c r="J49" i="48"/>
  <c r="J50" i="48"/>
  <c r="J51" i="48"/>
  <c r="J52" i="48"/>
  <c r="J53" i="48"/>
  <c r="J54" i="48"/>
  <c r="J55" i="48"/>
  <c r="J56" i="48"/>
  <c r="J57" i="48"/>
  <c r="J58" i="48"/>
  <c r="J59" i="48"/>
  <c r="J60" i="48"/>
  <c r="J61" i="48"/>
  <c r="J62" i="48"/>
  <c r="J63" i="48"/>
  <c r="J64" i="48"/>
  <c r="J65" i="48"/>
  <c r="J66" i="48"/>
  <c r="J67" i="48"/>
  <c r="J68" i="48"/>
  <c r="J69" i="48"/>
  <c r="J70" i="48"/>
  <c r="J71" i="48"/>
  <c r="J72" i="48"/>
  <c r="J73" i="48"/>
  <c r="J74" i="48"/>
  <c r="J75" i="48"/>
  <c r="J76" i="48"/>
  <c r="J77" i="48"/>
  <c r="J78" i="48"/>
  <c r="J79" i="48"/>
  <c r="J80" i="48"/>
  <c r="J81" i="48"/>
  <c r="J82" i="48"/>
  <c r="J83" i="48"/>
  <c r="J84" i="48"/>
  <c r="J85" i="48"/>
  <c r="J86" i="48"/>
  <c r="J87" i="48"/>
  <c r="J88" i="48"/>
  <c r="J89" i="48"/>
  <c r="J90" i="48"/>
  <c r="J91" i="48"/>
  <c r="J92" i="48"/>
  <c r="J93" i="48"/>
  <c r="J94" i="48"/>
  <c r="J95" i="48"/>
  <c r="J96" i="48"/>
  <c r="J97" i="48"/>
  <c r="J98" i="48"/>
  <c r="J99" i="48"/>
  <c r="J100" i="48"/>
  <c r="J101" i="48"/>
  <c r="J102" i="48"/>
  <c r="J103" i="48"/>
  <c r="J104" i="48"/>
  <c r="J105" i="48"/>
  <c r="J106" i="48"/>
  <c r="J107" i="48"/>
  <c r="J108" i="48"/>
  <c r="J109" i="48"/>
  <c r="J110" i="48"/>
  <c r="J111" i="48"/>
  <c r="J112" i="48"/>
  <c r="J113" i="48"/>
  <c r="J114" i="48"/>
  <c r="J115" i="48"/>
  <c r="J116" i="48"/>
  <c r="J117" i="48"/>
  <c r="J118" i="48"/>
  <c r="J119" i="48"/>
  <c r="J120" i="48"/>
  <c r="J121" i="48"/>
  <c r="J122" i="48"/>
  <c r="J123" i="48"/>
  <c r="J124" i="48"/>
  <c r="J125" i="48"/>
  <c r="J126" i="48"/>
  <c r="J127" i="48"/>
  <c r="J128" i="48"/>
  <c r="J129" i="48"/>
  <c r="J130" i="48"/>
  <c r="J131" i="48"/>
  <c r="J132" i="48"/>
  <c r="J133" i="48"/>
  <c r="J134" i="48"/>
  <c r="J135" i="48"/>
  <c r="J136" i="48"/>
  <c r="J137" i="48"/>
  <c r="J138" i="48"/>
  <c r="J139" i="48"/>
  <c r="J140" i="48"/>
  <c r="J141" i="48"/>
  <c r="J142" i="48"/>
  <c r="J143" i="48"/>
  <c r="J144" i="48"/>
  <c r="J145" i="48"/>
  <c r="J146" i="48"/>
  <c r="J147" i="48"/>
  <c r="J148" i="48"/>
  <c r="J149" i="48"/>
  <c r="J150" i="48"/>
  <c r="J151" i="48"/>
  <c r="J152" i="48"/>
  <c r="J153" i="48"/>
  <c r="J154" i="48"/>
  <c r="J155" i="48"/>
  <c r="J156" i="48"/>
  <c r="J157" i="48"/>
  <c r="J158" i="48"/>
  <c r="J159" i="48"/>
  <c r="J160" i="48"/>
  <c r="J161" i="48"/>
  <c r="J162" i="48"/>
  <c r="J163" i="48"/>
  <c r="J164" i="48"/>
  <c r="J165" i="48"/>
  <c r="J166" i="48"/>
  <c r="J167" i="48"/>
  <c r="J168" i="48"/>
  <c r="J169" i="48"/>
  <c r="J170" i="48"/>
  <c r="J171" i="48"/>
  <c r="J172" i="48"/>
  <c r="J173" i="48"/>
  <c r="J174" i="48"/>
  <c r="J175" i="48"/>
  <c r="J176" i="48"/>
  <c r="J177" i="48"/>
  <c r="J178" i="48"/>
  <c r="J179" i="48"/>
  <c r="J180" i="48"/>
  <c r="J181" i="48"/>
  <c r="J182" i="48"/>
  <c r="J183" i="48"/>
  <c r="J184" i="48"/>
  <c r="J185" i="48"/>
  <c r="J186" i="48"/>
  <c r="J187" i="48"/>
  <c r="J188" i="48"/>
  <c r="J189" i="48"/>
  <c r="J190" i="48"/>
  <c r="J191" i="48"/>
  <c r="J192" i="48"/>
  <c r="J193" i="48"/>
  <c r="J194" i="48"/>
  <c r="J195" i="48"/>
  <c r="J196" i="48"/>
  <c r="J197" i="48"/>
  <c r="J198" i="48"/>
  <c r="J199" i="48"/>
  <c r="J200" i="48"/>
  <c r="J201" i="48"/>
  <c r="J202" i="48"/>
  <c r="J203" i="48"/>
  <c r="J204" i="48"/>
  <c r="J205" i="48"/>
  <c r="J206" i="48"/>
  <c r="J207" i="48"/>
  <c r="J208" i="48"/>
  <c r="J209" i="48"/>
  <c r="J210" i="48"/>
  <c r="J211" i="48"/>
  <c r="J212" i="48"/>
  <c r="J213" i="48"/>
  <c r="J4" i="48"/>
  <c r="J5" i="50"/>
  <c r="J6" i="50"/>
  <c r="J7" i="50"/>
  <c r="J8" i="50"/>
  <c r="J9" i="50"/>
  <c r="J10" i="50"/>
  <c r="J11" i="50"/>
  <c r="J12" i="50"/>
  <c r="J13" i="50"/>
  <c r="J14" i="50"/>
  <c r="J15" i="50"/>
  <c r="J16" i="50"/>
  <c r="J17" i="50"/>
  <c r="J18" i="50"/>
  <c r="J19" i="50"/>
  <c r="J20" i="50"/>
  <c r="J21" i="50"/>
  <c r="J22" i="50"/>
  <c r="J23" i="50"/>
  <c r="J24" i="50"/>
  <c r="J25" i="50"/>
  <c r="J26" i="50"/>
  <c r="J27" i="50"/>
  <c r="J28" i="50"/>
  <c r="J29" i="50"/>
  <c r="J30" i="50"/>
  <c r="J31" i="50"/>
  <c r="J32" i="50"/>
  <c r="J33" i="50"/>
  <c r="J34" i="50"/>
  <c r="J35" i="50"/>
  <c r="J36" i="50"/>
  <c r="J37" i="50"/>
  <c r="J38" i="50"/>
  <c r="J39" i="50"/>
  <c r="J40" i="50"/>
  <c r="J41" i="50"/>
  <c r="J42" i="50"/>
  <c r="J43" i="50"/>
  <c r="J44" i="50"/>
  <c r="J45" i="50"/>
  <c r="J46" i="50"/>
  <c r="J47" i="50"/>
  <c r="J48" i="50"/>
  <c r="J49" i="50"/>
  <c r="J50" i="50"/>
  <c r="J51" i="50"/>
  <c r="J52" i="50"/>
  <c r="J53" i="50"/>
  <c r="J54" i="50"/>
  <c r="J55" i="50"/>
  <c r="J56" i="50"/>
  <c r="J57" i="50"/>
  <c r="J58" i="50"/>
  <c r="J59" i="50"/>
  <c r="J60" i="50"/>
  <c r="J61" i="50"/>
  <c r="J62" i="50"/>
  <c r="J63" i="50"/>
  <c r="J64" i="50"/>
  <c r="J65" i="50"/>
  <c r="J66" i="50"/>
  <c r="J67" i="50"/>
  <c r="J68" i="50"/>
  <c r="J69" i="50"/>
  <c r="J70" i="50"/>
  <c r="J71" i="50"/>
  <c r="J72" i="50"/>
  <c r="J73" i="50"/>
  <c r="J74" i="50"/>
  <c r="J75" i="50"/>
  <c r="J76" i="50"/>
  <c r="J77" i="50"/>
  <c r="J78" i="50"/>
  <c r="J79" i="50"/>
  <c r="J80" i="50"/>
  <c r="J81" i="50"/>
  <c r="J82" i="50"/>
  <c r="J83" i="50"/>
  <c r="J84" i="50"/>
  <c r="J85" i="50"/>
  <c r="J86" i="50"/>
  <c r="J87" i="50"/>
  <c r="J88" i="50"/>
  <c r="J89" i="50"/>
  <c r="J90" i="50"/>
  <c r="J91" i="50"/>
  <c r="J92" i="50"/>
  <c r="J93" i="50"/>
  <c r="J94" i="50"/>
  <c r="J95" i="50"/>
  <c r="J96" i="50"/>
  <c r="J97" i="50"/>
  <c r="J98" i="50"/>
  <c r="J99" i="50"/>
  <c r="J100" i="50"/>
  <c r="J101" i="50"/>
  <c r="J102" i="50"/>
  <c r="J103" i="50"/>
  <c r="J104" i="50"/>
  <c r="J105" i="50"/>
  <c r="J106" i="50"/>
  <c r="J107" i="50"/>
  <c r="J108" i="50"/>
  <c r="J109" i="50"/>
  <c r="J110" i="50"/>
  <c r="J111" i="50"/>
  <c r="J112" i="50"/>
  <c r="J113" i="50"/>
  <c r="J114" i="50"/>
  <c r="J115" i="50"/>
  <c r="J116" i="50"/>
  <c r="J117" i="50"/>
  <c r="J118" i="50"/>
  <c r="J119" i="50"/>
  <c r="J120" i="50"/>
  <c r="J121" i="50"/>
  <c r="J122" i="50"/>
  <c r="J123" i="50"/>
  <c r="J124" i="50"/>
  <c r="J125" i="50"/>
  <c r="J126" i="50"/>
  <c r="J127" i="50"/>
  <c r="J128" i="50"/>
  <c r="J129" i="50"/>
  <c r="J130" i="50"/>
  <c r="J131" i="50"/>
  <c r="J132" i="50"/>
  <c r="J133" i="50"/>
  <c r="J134" i="50"/>
  <c r="J135" i="50"/>
  <c r="J136" i="50"/>
  <c r="J137" i="50"/>
  <c r="J138" i="50"/>
  <c r="J139" i="50"/>
  <c r="J140" i="50"/>
  <c r="J141" i="50"/>
  <c r="J142" i="50"/>
  <c r="J143" i="50"/>
  <c r="J144" i="50"/>
  <c r="J145" i="50"/>
  <c r="J146" i="50"/>
  <c r="J147" i="50"/>
  <c r="J148" i="50"/>
  <c r="J149" i="50"/>
  <c r="J150" i="50"/>
  <c r="J151" i="50"/>
  <c r="J152" i="50"/>
  <c r="J153" i="50"/>
  <c r="J154" i="50"/>
  <c r="J155" i="50"/>
  <c r="J156" i="50"/>
  <c r="J157" i="50"/>
  <c r="J158" i="50"/>
  <c r="J159" i="50"/>
  <c r="J160" i="50"/>
  <c r="J161" i="50"/>
  <c r="J162" i="50"/>
  <c r="J163" i="50"/>
  <c r="J164" i="50"/>
  <c r="J165" i="50"/>
  <c r="J166" i="50"/>
  <c r="J167" i="50"/>
  <c r="J168" i="50"/>
  <c r="J169" i="50"/>
  <c r="J170" i="50"/>
  <c r="J171" i="50"/>
  <c r="J172" i="50"/>
  <c r="J173" i="50"/>
  <c r="J174" i="50"/>
  <c r="J175" i="50"/>
  <c r="J176" i="50"/>
  <c r="J177" i="50"/>
  <c r="J178" i="50"/>
  <c r="J179" i="50"/>
  <c r="J180" i="50"/>
  <c r="J181" i="50"/>
  <c r="J182" i="50"/>
  <c r="J183" i="50"/>
  <c r="J184" i="50"/>
  <c r="J185" i="50"/>
  <c r="J186" i="50"/>
  <c r="J187" i="50"/>
  <c r="J188" i="50"/>
  <c r="J189" i="50"/>
  <c r="J190" i="50"/>
  <c r="J191" i="50"/>
  <c r="J192" i="50"/>
  <c r="J193" i="50"/>
  <c r="J194" i="50"/>
  <c r="J195" i="50"/>
  <c r="J196" i="50"/>
  <c r="J197" i="50"/>
  <c r="J198" i="50"/>
  <c r="J199" i="50"/>
  <c r="J200" i="50"/>
  <c r="J201" i="50"/>
  <c r="J202" i="50"/>
  <c r="J203" i="50"/>
  <c r="J204" i="50"/>
  <c r="J205" i="50"/>
  <c r="J206" i="50"/>
  <c r="J207" i="50"/>
  <c r="J208" i="50"/>
  <c r="J209" i="50"/>
  <c r="J210" i="50"/>
  <c r="J211" i="50"/>
  <c r="J212" i="50"/>
  <c r="J213" i="50"/>
  <c r="J4" i="50"/>
  <c r="J5" i="51"/>
  <c r="J6" i="51"/>
  <c r="J7" i="51"/>
  <c r="J8" i="51"/>
  <c r="J9" i="51"/>
  <c r="J10" i="51"/>
  <c r="J11" i="51"/>
  <c r="J12" i="51"/>
  <c r="J13" i="51"/>
  <c r="J14" i="51"/>
  <c r="J15" i="51"/>
  <c r="J16" i="51"/>
  <c r="J17" i="51"/>
  <c r="J18" i="51"/>
  <c r="J19" i="51"/>
  <c r="J20" i="51"/>
  <c r="J21" i="51"/>
  <c r="J22" i="51"/>
  <c r="J23" i="51"/>
  <c r="J24" i="51"/>
  <c r="J25" i="51"/>
  <c r="J26" i="51"/>
  <c r="J27" i="51"/>
  <c r="J28" i="51"/>
  <c r="J29" i="51"/>
  <c r="J30" i="51"/>
  <c r="J31" i="51"/>
  <c r="J32" i="51"/>
  <c r="J33" i="51"/>
  <c r="J34" i="51"/>
  <c r="J35" i="51"/>
  <c r="J36" i="51"/>
  <c r="J37" i="51"/>
  <c r="J38" i="51"/>
  <c r="J39" i="51"/>
  <c r="J40" i="51"/>
  <c r="J41" i="51"/>
  <c r="J42" i="51"/>
  <c r="J43" i="51"/>
  <c r="J44" i="51"/>
  <c r="J45" i="51"/>
  <c r="J46" i="51"/>
  <c r="J47" i="51"/>
  <c r="J48" i="51"/>
  <c r="J49" i="51"/>
  <c r="J50" i="51"/>
  <c r="J51" i="51"/>
  <c r="J52" i="51"/>
  <c r="J53" i="51"/>
  <c r="J54" i="51"/>
  <c r="J55" i="51"/>
  <c r="J56" i="51"/>
  <c r="J57" i="51"/>
  <c r="J58" i="51"/>
  <c r="J59" i="51"/>
  <c r="J60" i="51"/>
  <c r="J61" i="51"/>
  <c r="J62" i="51"/>
  <c r="J63" i="51"/>
  <c r="J64" i="51"/>
  <c r="J65" i="51"/>
  <c r="J66" i="51"/>
  <c r="J67" i="51"/>
  <c r="J68" i="51"/>
  <c r="J69" i="51"/>
  <c r="J70" i="51"/>
  <c r="J71" i="51"/>
  <c r="J72" i="51"/>
  <c r="J73" i="51"/>
  <c r="J74" i="51"/>
  <c r="J75" i="51"/>
  <c r="J76" i="51"/>
  <c r="J77" i="51"/>
  <c r="J78" i="51"/>
  <c r="J79" i="51"/>
  <c r="J80" i="51"/>
  <c r="J81" i="51"/>
  <c r="J82" i="51"/>
  <c r="J83" i="51"/>
  <c r="J84" i="51"/>
  <c r="J85" i="51"/>
  <c r="J86" i="51"/>
  <c r="J87" i="51"/>
  <c r="J88" i="51"/>
  <c r="J89" i="51"/>
  <c r="J90" i="51"/>
  <c r="J91" i="51"/>
  <c r="J92" i="51"/>
  <c r="J93" i="51"/>
  <c r="J94" i="51"/>
  <c r="J95" i="51"/>
  <c r="J96" i="51"/>
  <c r="J97" i="51"/>
  <c r="J98" i="51"/>
  <c r="J99" i="51"/>
  <c r="J100" i="51"/>
  <c r="J101" i="51"/>
  <c r="J102" i="51"/>
  <c r="J103" i="51"/>
  <c r="J104" i="51"/>
  <c r="J105" i="51"/>
  <c r="J106" i="51"/>
  <c r="J107" i="51"/>
  <c r="J108" i="51"/>
  <c r="J109" i="51"/>
  <c r="J110" i="51"/>
  <c r="J111" i="51"/>
  <c r="J112" i="51"/>
  <c r="J113" i="51"/>
  <c r="J114" i="51"/>
  <c r="J115" i="51"/>
  <c r="J116" i="51"/>
  <c r="J117" i="51"/>
  <c r="J118" i="51"/>
  <c r="J119" i="51"/>
  <c r="J120" i="51"/>
  <c r="J121" i="51"/>
  <c r="J122" i="51"/>
  <c r="J123" i="51"/>
  <c r="J124" i="51"/>
  <c r="J125" i="51"/>
  <c r="J126" i="51"/>
  <c r="J127" i="51"/>
  <c r="J128" i="51"/>
  <c r="J129" i="51"/>
  <c r="J130" i="51"/>
  <c r="J131" i="51"/>
  <c r="J132" i="51"/>
  <c r="J133" i="51"/>
  <c r="J134" i="51"/>
  <c r="J135" i="51"/>
  <c r="J136" i="51"/>
  <c r="J137" i="51"/>
  <c r="J138" i="51"/>
  <c r="J139" i="51"/>
  <c r="J140" i="51"/>
  <c r="J141" i="51"/>
  <c r="J142" i="51"/>
  <c r="J143" i="51"/>
  <c r="J144" i="51"/>
  <c r="J145" i="51"/>
  <c r="J146" i="51"/>
  <c r="J147" i="51"/>
  <c r="J148" i="51"/>
  <c r="J149" i="51"/>
  <c r="J150" i="51"/>
  <c r="J151" i="51"/>
  <c r="J152" i="51"/>
  <c r="J153" i="51"/>
  <c r="J154" i="51"/>
  <c r="J155" i="51"/>
  <c r="J156" i="51"/>
  <c r="J157" i="51"/>
  <c r="J158" i="51"/>
  <c r="J159" i="51"/>
  <c r="J160" i="51"/>
  <c r="J161" i="51"/>
  <c r="J162" i="51"/>
  <c r="J163" i="51"/>
  <c r="J164" i="51"/>
  <c r="J165" i="51"/>
  <c r="J166" i="51"/>
  <c r="J167" i="51"/>
  <c r="J168" i="51"/>
  <c r="J169" i="51"/>
  <c r="J170" i="51"/>
  <c r="J171" i="51"/>
  <c r="J172" i="51"/>
  <c r="J173" i="51"/>
  <c r="J174" i="51"/>
  <c r="J175" i="51"/>
  <c r="J176" i="51"/>
  <c r="J177" i="51"/>
  <c r="J178" i="51"/>
  <c r="J179" i="51"/>
  <c r="J180" i="51"/>
  <c r="J181" i="51"/>
  <c r="J182" i="51"/>
  <c r="J183" i="51"/>
  <c r="J184" i="51"/>
  <c r="J185" i="51"/>
  <c r="J186" i="51"/>
  <c r="J187" i="51"/>
  <c r="J188" i="51"/>
  <c r="J189" i="51"/>
  <c r="J190" i="51"/>
  <c r="J191" i="51"/>
  <c r="J192" i="51"/>
  <c r="J193" i="51"/>
  <c r="J194" i="51"/>
  <c r="J195" i="51"/>
  <c r="J196" i="51"/>
  <c r="J197" i="51"/>
  <c r="J198" i="51"/>
  <c r="J199" i="51"/>
  <c r="J200" i="51"/>
  <c r="J201" i="51"/>
  <c r="J202" i="51"/>
  <c r="J203" i="51"/>
  <c r="J204" i="51"/>
  <c r="J205" i="51"/>
  <c r="J206" i="51"/>
  <c r="J207" i="51"/>
  <c r="J208" i="51"/>
  <c r="J209" i="51"/>
  <c r="J210" i="51"/>
  <c r="J211" i="51"/>
  <c r="J212" i="51"/>
  <c r="J213" i="51"/>
  <c r="J4" i="51"/>
  <c r="J5" i="53"/>
  <c r="J6" i="53"/>
  <c r="J7" i="53"/>
  <c r="J8" i="53"/>
  <c r="J9" i="53"/>
  <c r="J10" i="53"/>
  <c r="J11" i="53"/>
  <c r="J12" i="53"/>
  <c r="J13" i="53"/>
  <c r="J14" i="53"/>
  <c r="J15" i="53"/>
  <c r="J16" i="53"/>
  <c r="J17" i="53"/>
  <c r="J18" i="53"/>
  <c r="J19" i="53"/>
  <c r="J20" i="53"/>
  <c r="J21" i="53"/>
  <c r="J22" i="53"/>
  <c r="J23" i="53"/>
  <c r="J24" i="53"/>
  <c r="J25" i="53"/>
  <c r="J26" i="53"/>
  <c r="J27" i="53"/>
  <c r="J28" i="53"/>
  <c r="J29" i="53"/>
  <c r="J30" i="53"/>
  <c r="J31" i="53"/>
  <c r="J32" i="53"/>
  <c r="J33" i="53"/>
  <c r="J34" i="53"/>
  <c r="J35" i="53"/>
  <c r="J36" i="53"/>
  <c r="J37" i="53"/>
  <c r="J38" i="53"/>
  <c r="J39" i="53"/>
  <c r="J40" i="53"/>
  <c r="J41" i="53"/>
  <c r="J42" i="53"/>
  <c r="J43" i="53"/>
  <c r="J44" i="53"/>
  <c r="J45" i="53"/>
  <c r="J46" i="53"/>
  <c r="J47" i="53"/>
  <c r="J48" i="53"/>
  <c r="J49" i="53"/>
  <c r="J50" i="53"/>
  <c r="J51" i="53"/>
  <c r="J52" i="53"/>
  <c r="J53" i="53"/>
  <c r="J54" i="53"/>
  <c r="J55" i="53"/>
  <c r="J56" i="53"/>
  <c r="J57" i="53"/>
  <c r="J58" i="53"/>
  <c r="J59" i="53"/>
  <c r="J60" i="53"/>
  <c r="J61" i="53"/>
  <c r="J62" i="53"/>
  <c r="J63" i="53"/>
  <c r="J64" i="53"/>
  <c r="J65" i="53"/>
  <c r="J66" i="53"/>
  <c r="J67" i="53"/>
  <c r="J68" i="53"/>
  <c r="J69" i="53"/>
  <c r="J70" i="53"/>
  <c r="J71" i="53"/>
  <c r="J72" i="53"/>
  <c r="J73" i="53"/>
  <c r="J74" i="53"/>
  <c r="J75" i="53"/>
  <c r="J76" i="53"/>
  <c r="J77" i="53"/>
  <c r="J78" i="53"/>
  <c r="J79" i="53"/>
  <c r="J80" i="53"/>
  <c r="J81" i="53"/>
  <c r="J82" i="53"/>
  <c r="J83" i="53"/>
  <c r="J84" i="53"/>
  <c r="J85" i="53"/>
  <c r="J86" i="53"/>
  <c r="J87" i="53"/>
  <c r="J88" i="53"/>
  <c r="J89" i="53"/>
  <c r="J90" i="53"/>
  <c r="J91" i="53"/>
  <c r="J92" i="53"/>
  <c r="J93" i="53"/>
  <c r="J94" i="53"/>
  <c r="J95" i="53"/>
  <c r="J96" i="53"/>
  <c r="J97" i="53"/>
  <c r="J98" i="53"/>
  <c r="J99" i="53"/>
  <c r="J100" i="53"/>
  <c r="J101" i="53"/>
  <c r="J102" i="53"/>
  <c r="J103" i="53"/>
  <c r="J104" i="53"/>
  <c r="J105" i="53"/>
  <c r="J106" i="53"/>
  <c r="J107" i="53"/>
  <c r="J108" i="53"/>
  <c r="J109" i="53"/>
  <c r="J110" i="53"/>
  <c r="J111" i="53"/>
  <c r="J112" i="53"/>
  <c r="J113" i="53"/>
  <c r="J114" i="53"/>
  <c r="J115" i="53"/>
  <c r="J116" i="53"/>
  <c r="J117" i="53"/>
  <c r="J118" i="53"/>
  <c r="J119" i="53"/>
  <c r="J120" i="53"/>
  <c r="J121" i="53"/>
  <c r="J122" i="53"/>
  <c r="J123" i="53"/>
  <c r="J124" i="53"/>
  <c r="J125" i="53"/>
  <c r="J126" i="53"/>
  <c r="J127" i="53"/>
  <c r="J128" i="53"/>
  <c r="J129" i="53"/>
  <c r="J130" i="53"/>
  <c r="J131" i="53"/>
  <c r="J132" i="53"/>
  <c r="J133" i="53"/>
  <c r="J134" i="53"/>
  <c r="J135" i="53"/>
  <c r="J136" i="53"/>
  <c r="J137" i="53"/>
  <c r="J138" i="53"/>
  <c r="J139" i="53"/>
  <c r="J140" i="53"/>
  <c r="J141" i="53"/>
  <c r="J142" i="53"/>
  <c r="J143" i="53"/>
  <c r="J144" i="53"/>
  <c r="J145" i="53"/>
  <c r="J146" i="53"/>
  <c r="J147" i="53"/>
  <c r="J148" i="53"/>
  <c r="J149" i="53"/>
  <c r="J150" i="53"/>
  <c r="J151" i="53"/>
  <c r="J152" i="53"/>
  <c r="J153" i="53"/>
  <c r="J154" i="53"/>
  <c r="J155" i="53"/>
  <c r="J156" i="53"/>
  <c r="J157" i="53"/>
  <c r="J158" i="53"/>
  <c r="J159" i="53"/>
  <c r="J160" i="53"/>
  <c r="J161" i="53"/>
  <c r="J162" i="53"/>
  <c r="J163" i="53"/>
  <c r="J164" i="53"/>
  <c r="J165" i="53"/>
  <c r="J166" i="53"/>
  <c r="J167" i="53"/>
  <c r="J168" i="53"/>
  <c r="J169" i="53"/>
  <c r="J170" i="53"/>
  <c r="J171" i="53"/>
  <c r="J172" i="53"/>
  <c r="J173" i="53"/>
  <c r="J174" i="53"/>
  <c r="J175" i="53"/>
  <c r="J176" i="53"/>
  <c r="J177" i="53"/>
  <c r="J178" i="53"/>
  <c r="J179" i="53"/>
  <c r="J180" i="53"/>
  <c r="J181" i="53"/>
  <c r="J182" i="53"/>
  <c r="J183" i="53"/>
  <c r="J184" i="53"/>
  <c r="J185" i="53"/>
  <c r="J186" i="53"/>
  <c r="J187" i="53"/>
  <c r="J188" i="53"/>
  <c r="J189" i="53"/>
  <c r="J190" i="53"/>
  <c r="J191" i="53"/>
  <c r="J192" i="53"/>
  <c r="J193" i="53"/>
  <c r="J194" i="53"/>
  <c r="J195" i="53"/>
  <c r="J196" i="53"/>
  <c r="J197" i="53"/>
  <c r="J198" i="53"/>
  <c r="J199" i="53"/>
  <c r="J200" i="53"/>
  <c r="J201" i="53"/>
  <c r="J202" i="53"/>
  <c r="J203" i="53"/>
  <c r="J204" i="53"/>
  <c r="J205" i="53"/>
  <c r="J206" i="53"/>
  <c r="J207" i="53"/>
  <c r="J208" i="53"/>
  <c r="J209" i="53"/>
  <c r="J210" i="53"/>
  <c r="J211" i="53"/>
  <c r="J212" i="53"/>
  <c r="J213" i="53"/>
  <c r="J4" i="53"/>
  <c r="J5" i="52"/>
  <c r="J6" i="52"/>
  <c r="J7" i="52"/>
  <c r="J8" i="52"/>
  <c r="J9" i="52"/>
  <c r="J10" i="52"/>
  <c r="J11" i="52"/>
  <c r="J12" i="52"/>
  <c r="J13" i="52"/>
  <c r="J14" i="52"/>
  <c r="J15" i="52"/>
  <c r="J16" i="52"/>
  <c r="J17" i="52"/>
  <c r="J18" i="52"/>
  <c r="J19" i="52"/>
  <c r="J20" i="52"/>
  <c r="J21" i="52"/>
  <c r="J22" i="52"/>
  <c r="J23" i="52"/>
  <c r="J24" i="52"/>
  <c r="J25" i="52"/>
  <c r="J26" i="52"/>
  <c r="J27" i="52"/>
  <c r="J28" i="52"/>
  <c r="J29" i="52"/>
  <c r="J30" i="52"/>
  <c r="J31" i="52"/>
  <c r="J32" i="52"/>
  <c r="J33" i="52"/>
  <c r="J34" i="52"/>
  <c r="J35" i="52"/>
  <c r="J36" i="52"/>
  <c r="J37" i="52"/>
  <c r="J38" i="52"/>
  <c r="J39" i="52"/>
  <c r="J40" i="52"/>
  <c r="J41" i="52"/>
  <c r="J42" i="52"/>
  <c r="J43" i="52"/>
  <c r="J44" i="52"/>
  <c r="J45" i="52"/>
  <c r="J46" i="52"/>
  <c r="J47" i="52"/>
  <c r="J48" i="52"/>
  <c r="J49" i="52"/>
  <c r="J50" i="52"/>
  <c r="J51" i="52"/>
  <c r="J52" i="52"/>
  <c r="J53" i="52"/>
  <c r="J54" i="52"/>
  <c r="J55" i="52"/>
  <c r="J56" i="52"/>
  <c r="J57" i="52"/>
  <c r="J58" i="52"/>
  <c r="J59" i="52"/>
  <c r="J60" i="52"/>
  <c r="J61" i="52"/>
  <c r="J62" i="52"/>
  <c r="J63" i="52"/>
  <c r="J64" i="52"/>
  <c r="J65" i="52"/>
  <c r="J66" i="52"/>
  <c r="J67" i="52"/>
  <c r="J68" i="52"/>
  <c r="J69" i="52"/>
  <c r="J70" i="52"/>
  <c r="J71" i="52"/>
  <c r="J72" i="52"/>
  <c r="J73" i="52"/>
  <c r="J74" i="52"/>
  <c r="J75" i="52"/>
  <c r="J76" i="52"/>
  <c r="J77" i="52"/>
  <c r="J78" i="52"/>
  <c r="J79" i="52"/>
  <c r="J80" i="52"/>
  <c r="J81" i="52"/>
  <c r="J82" i="52"/>
  <c r="J83" i="52"/>
  <c r="J84" i="52"/>
  <c r="J85" i="52"/>
  <c r="J86" i="52"/>
  <c r="J87" i="52"/>
  <c r="J88" i="52"/>
  <c r="J89" i="52"/>
  <c r="J90" i="52"/>
  <c r="J91" i="52"/>
  <c r="J92" i="52"/>
  <c r="J93" i="52"/>
  <c r="J94" i="52"/>
  <c r="J95" i="52"/>
  <c r="J96" i="52"/>
  <c r="J97" i="52"/>
  <c r="J98" i="52"/>
  <c r="J99" i="52"/>
  <c r="J100" i="52"/>
  <c r="J101" i="52"/>
  <c r="J102" i="52"/>
  <c r="J103" i="52"/>
  <c r="J104" i="52"/>
  <c r="J105" i="52"/>
  <c r="J106" i="52"/>
  <c r="J107" i="52"/>
  <c r="J108" i="52"/>
  <c r="J109" i="52"/>
  <c r="J110" i="52"/>
  <c r="J111" i="52"/>
  <c r="J112" i="52"/>
  <c r="J113" i="52"/>
  <c r="J114" i="52"/>
  <c r="J115" i="52"/>
  <c r="J116" i="52"/>
  <c r="J117" i="52"/>
  <c r="J118" i="52"/>
  <c r="J119" i="52"/>
  <c r="J120" i="52"/>
  <c r="J121" i="52"/>
  <c r="J122" i="52"/>
  <c r="J123" i="52"/>
  <c r="J124" i="52"/>
  <c r="J125" i="52"/>
  <c r="J126" i="52"/>
  <c r="J127" i="52"/>
  <c r="J128" i="52"/>
  <c r="J129" i="52"/>
  <c r="J130" i="52"/>
  <c r="J131" i="52"/>
  <c r="J132" i="52"/>
  <c r="J133" i="52"/>
  <c r="J134" i="52"/>
  <c r="J135" i="52"/>
  <c r="J136" i="52"/>
  <c r="J137" i="52"/>
  <c r="J138" i="52"/>
  <c r="J139" i="52"/>
  <c r="J140" i="52"/>
  <c r="J141" i="52"/>
  <c r="J142" i="52"/>
  <c r="J143" i="52"/>
  <c r="J144" i="52"/>
  <c r="J145" i="52"/>
  <c r="J146" i="52"/>
  <c r="J147" i="52"/>
  <c r="J148" i="52"/>
  <c r="J149" i="52"/>
  <c r="J150" i="52"/>
  <c r="J151" i="52"/>
  <c r="J152" i="52"/>
  <c r="J153" i="52"/>
  <c r="J154" i="52"/>
  <c r="J155" i="52"/>
  <c r="J156" i="52"/>
  <c r="J157" i="52"/>
  <c r="J158" i="52"/>
  <c r="J159" i="52"/>
  <c r="J160" i="52"/>
  <c r="J161" i="52"/>
  <c r="J162" i="52"/>
  <c r="J163" i="52"/>
  <c r="J164" i="52"/>
  <c r="J165" i="52"/>
  <c r="J166" i="52"/>
  <c r="J167" i="52"/>
  <c r="J168" i="52"/>
  <c r="J169" i="52"/>
  <c r="J170" i="52"/>
  <c r="J171" i="52"/>
  <c r="J172" i="52"/>
  <c r="J173" i="52"/>
  <c r="J174" i="52"/>
  <c r="J175" i="52"/>
  <c r="J176" i="52"/>
  <c r="J177" i="52"/>
  <c r="J178" i="52"/>
  <c r="J179" i="52"/>
  <c r="J180" i="52"/>
  <c r="J181" i="52"/>
  <c r="J182" i="52"/>
  <c r="J183" i="52"/>
  <c r="J184" i="52"/>
  <c r="J185" i="52"/>
  <c r="J186" i="52"/>
  <c r="J187" i="52"/>
  <c r="J188" i="52"/>
  <c r="J189" i="52"/>
  <c r="J190" i="52"/>
  <c r="J191" i="52"/>
  <c r="J192" i="52"/>
  <c r="J193" i="52"/>
  <c r="J194" i="52"/>
  <c r="J195" i="52"/>
  <c r="J196" i="52"/>
  <c r="J197" i="52"/>
  <c r="J198" i="52"/>
  <c r="J199" i="52"/>
  <c r="J200" i="52"/>
  <c r="J201" i="52"/>
  <c r="J202" i="52"/>
  <c r="J203" i="52"/>
  <c r="J204" i="52"/>
  <c r="J205" i="52"/>
  <c r="J206" i="52"/>
  <c r="J207" i="52"/>
  <c r="J208" i="52"/>
  <c r="J209" i="52"/>
  <c r="J210" i="52"/>
  <c r="J211" i="52"/>
  <c r="J212" i="52"/>
  <c r="J213" i="52"/>
  <c r="J4" i="52"/>
  <c r="J5" i="55"/>
  <c r="J6" i="55"/>
  <c r="J7" i="55"/>
  <c r="J8" i="55"/>
  <c r="J9" i="55"/>
  <c r="J10" i="55"/>
  <c r="J11" i="55"/>
  <c r="J12" i="55"/>
  <c r="J13" i="55"/>
  <c r="J14" i="55"/>
  <c r="J15" i="55"/>
  <c r="J16" i="55"/>
  <c r="J17" i="55"/>
  <c r="J18" i="55"/>
  <c r="J19" i="55"/>
  <c r="J20" i="55"/>
  <c r="J21" i="55"/>
  <c r="J22" i="55"/>
  <c r="J23" i="55"/>
  <c r="J24" i="55"/>
  <c r="J25" i="55"/>
  <c r="J26" i="55"/>
  <c r="J27" i="55"/>
  <c r="J28" i="55"/>
  <c r="J29" i="55"/>
  <c r="J30" i="55"/>
  <c r="J31" i="55"/>
  <c r="J32" i="55"/>
  <c r="J33" i="55"/>
  <c r="J34" i="55"/>
  <c r="J35" i="55"/>
  <c r="J36" i="55"/>
  <c r="J37" i="55"/>
  <c r="J38" i="55"/>
  <c r="J39" i="55"/>
  <c r="J40" i="55"/>
  <c r="J41" i="55"/>
  <c r="J42" i="55"/>
  <c r="J43" i="55"/>
  <c r="J44" i="55"/>
  <c r="J45" i="55"/>
  <c r="J46" i="55"/>
  <c r="J47" i="55"/>
  <c r="J48" i="55"/>
  <c r="J49" i="55"/>
  <c r="J50" i="55"/>
  <c r="J51" i="55"/>
  <c r="J52" i="55"/>
  <c r="J53" i="55"/>
  <c r="J54" i="55"/>
  <c r="J55" i="55"/>
  <c r="J56" i="55"/>
  <c r="J57" i="55"/>
  <c r="J58" i="55"/>
  <c r="J59" i="55"/>
  <c r="J60" i="55"/>
  <c r="J61" i="55"/>
  <c r="J62" i="55"/>
  <c r="J63" i="55"/>
  <c r="J64" i="55"/>
  <c r="J65" i="55"/>
  <c r="J66" i="55"/>
  <c r="J67" i="55"/>
  <c r="J68" i="55"/>
  <c r="J69" i="55"/>
  <c r="J70" i="55"/>
  <c r="J71" i="55"/>
  <c r="J72" i="55"/>
  <c r="J73" i="55"/>
  <c r="J74" i="55"/>
  <c r="J75" i="55"/>
  <c r="J76" i="55"/>
  <c r="J77" i="55"/>
  <c r="J78" i="55"/>
  <c r="J79" i="55"/>
  <c r="J80" i="55"/>
  <c r="J81" i="55"/>
  <c r="J82" i="55"/>
  <c r="J83" i="55"/>
  <c r="J84" i="55"/>
  <c r="J85" i="55"/>
  <c r="J86" i="55"/>
  <c r="J87" i="55"/>
  <c r="J88" i="55"/>
  <c r="J89" i="55"/>
  <c r="J90" i="55"/>
  <c r="J91" i="55"/>
  <c r="J92" i="55"/>
  <c r="J93" i="55"/>
  <c r="J94" i="55"/>
  <c r="J95" i="55"/>
  <c r="J96" i="55"/>
  <c r="J97" i="55"/>
  <c r="J98" i="55"/>
  <c r="J99" i="55"/>
  <c r="J100" i="55"/>
  <c r="J101" i="55"/>
  <c r="J102" i="55"/>
  <c r="J103" i="55"/>
  <c r="J104" i="55"/>
  <c r="J105" i="55"/>
  <c r="J106" i="55"/>
  <c r="J107" i="55"/>
  <c r="J108" i="55"/>
  <c r="J109" i="55"/>
  <c r="J110" i="55"/>
  <c r="J111" i="55"/>
  <c r="J112" i="55"/>
  <c r="J113" i="55"/>
  <c r="J114" i="55"/>
  <c r="J115" i="55"/>
  <c r="J116" i="55"/>
  <c r="J117" i="55"/>
  <c r="J118" i="55"/>
  <c r="J119" i="55"/>
  <c r="J120" i="55"/>
  <c r="J121" i="55"/>
  <c r="J122" i="55"/>
  <c r="J123" i="55"/>
  <c r="J124" i="55"/>
  <c r="J125" i="55"/>
  <c r="J126" i="55"/>
  <c r="J127" i="55"/>
  <c r="J128" i="55"/>
  <c r="J129" i="55"/>
  <c r="J130" i="55"/>
  <c r="J131" i="55"/>
  <c r="J132" i="55"/>
  <c r="J133" i="55"/>
  <c r="J134" i="55"/>
  <c r="J135" i="55"/>
  <c r="J136" i="55"/>
  <c r="J137" i="55"/>
  <c r="J138" i="55"/>
  <c r="J139" i="55"/>
  <c r="J140" i="55"/>
  <c r="J141" i="55"/>
  <c r="J142" i="55"/>
  <c r="J143" i="55"/>
  <c r="J144" i="55"/>
  <c r="J145" i="55"/>
  <c r="J146" i="55"/>
  <c r="J147" i="55"/>
  <c r="J148" i="55"/>
  <c r="J149" i="55"/>
  <c r="J150" i="55"/>
  <c r="J151" i="55"/>
  <c r="J152" i="55"/>
  <c r="J153" i="55"/>
  <c r="J154" i="55"/>
  <c r="J155" i="55"/>
  <c r="J156" i="55"/>
  <c r="J157" i="55"/>
  <c r="J158" i="55"/>
  <c r="J159" i="55"/>
  <c r="J160" i="55"/>
  <c r="J161" i="55"/>
  <c r="J162" i="55"/>
  <c r="J163" i="55"/>
  <c r="J164" i="55"/>
  <c r="J165" i="55"/>
  <c r="J166" i="55"/>
  <c r="J167" i="55"/>
  <c r="J168" i="55"/>
  <c r="J169" i="55"/>
  <c r="J170" i="55"/>
  <c r="J171" i="55"/>
  <c r="J172" i="55"/>
  <c r="J173" i="55"/>
  <c r="J174" i="55"/>
  <c r="J175" i="55"/>
  <c r="J176" i="55"/>
  <c r="J177" i="55"/>
  <c r="J178" i="55"/>
  <c r="J179" i="55"/>
  <c r="J180" i="55"/>
  <c r="J181" i="55"/>
  <c r="J182" i="55"/>
  <c r="J183" i="55"/>
  <c r="J184" i="55"/>
  <c r="J185" i="55"/>
  <c r="J186" i="55"/>
  <c r="J187" i="55"/>
  <c r="J188" i="55"/>
  <c r="J189" i="55"/>
  <c r="J190" i="55"/>
  <c r="J191" i="55"/>
  <c r="J192" i="55"/>
  <c r="J193" i="55"/>
  <c r="J194" i="55"/>
  <c r="J195" i="55"/>
  <c r="J196" i="55"/>
  <c r="J197" i="55"/>
  <c r="J198" i="55"/>
  <c r="J199" i="55"/>
  <c r="J200" i="55"/>
  <c r="J201" i="55"/>
  <c r="J202" i="55"/>
  <c r="J203" i="55"/>
  <c r="J204" i="55"/>
  <c r="J205" i="55"/>
  <c r="J206" i="55"/>
  <c r="J207" i="55"/>
  <c r="J208" i="55"/>
  <c r="J209" i="55"/>
  <c r="J210" i="55"/>
  <c r="J211" i="55"/>
  <c r="J212" i="55"/>
  <c r="J213" i="55"/>
  <c r="J4" i="55"/>
  <c r="J42" i="46"/>
  <c r="J43" i="46"/>
  <c r="J44" i="46"/>
  <c r="J45" i="46"/>
  <c r="J46" i="46"/>
  <c r="J47" i="46"/>
  <c r="J48" i="46"/>
  <c r="J49" i="46"/>
  <c r="J50" i="46"/>
  <c r="J51" i="46"/>
  <c r="J52" i="46"/>
  <c r="J53" i="46"/>
  <c r="J54" i="46"/>
  <c r="J55" i="46"/>
  <c r="J56" i="46"/>
  <c r="J57" i="46"/>
  <c r="J58" i="46"/>
  <c r="J59" i="46"/>
  <c r="J60" i="46"/>
  <c r="J61" i="46"/>
  <c r="J62" i="46"/>
  <c r="J63" i="46"/>
  <c r="J64" i="46"/>
  <c r="J65" i="46"/>
  <c r="J66" i="46"/>
  <c r="J67" i="46"/>
  <c r="J68" i="46"/>
  <c r="J69" i="46"/>
  <c r="J70" i="46"/>
  <c r="J71" i="46"/>
  <c r="J72" i="46"/>
  <c r="J73" i="46"/>
  <c r="J74" i="46"/>
  <c r="J75" i="46"/>
  <c r="J76" i="46"/>
  <c r="J77" i="46"/>
  <c r="J78" i="46"/>
  <c r="J79" i="46"/>
  <c r="J80" i="46"/>
  <c r="J81" i="46"/>
  <c r="J82" i="46"/>
  <c r="J83" i="46"/>
  <c r="J84" i="46"/>
  <c r="J85" i="46"/>
  <c r="J86" i="46"/>
  <c r="J87" i="46"/>
  <c r="J88" i="46"/>
  <c r="J89" i="46"/>
  <c r="J90" i="46"/>
  <c r="J91" i="46"/>
  <c r="J92" i="46"/>
  <c r="J93" i="46"/>
  <c r="J94" i="46"/>
  <c r="J95" i="46"/>
  <c r="J96" i="46"/>
  <c r="J97" i="46"/>
  <c r="J98" i="46"/>
  <c r="J99" i="46"/>
  <c r="J100" i="46"/>
  <c r="J101" i="46"/>
  <c r="J102" i="46"/>
  <c r="J103" i="46"/>
  <c r="J104" i="46"/>
  <c r="J105" i="46"/>
  <c r="J106" i="46"/>
  <c r="J107" i="46"/>
  <c r="J108" i="46"/>
  <c r="J109" i="46"/>
  <c r="J110" i="46"/>
  <c r="J111" i="46"/>
  <c r="J112" i="46"/>
  <c r="J113" i="46"/>
  <c r="J114" i="46"/>
  <c r="J115" i="46"/>
  <c r="J116" i="46"/>
  <c r="J117" i="46"/>
  <c r="J118" i="46"/>
  <c r="J119" i="46"/>
  <c r="J120" i="46"/>
  <c r="J121" i="46"/>
  <c r="J122" i="46"/>
  <c r="J123" i="46"/>
  <c r="J124" i="46"/>
  <c r="J125" i="46"/>
  <c r="J126" i="46"/>
  <c r="J127" i="46"/>
  <c r="J128" i="46"/>
  <c r="J129" i="46"/>
  <c r="J130" i="46"/>
  <c r="J131" i="46"/>
  <c r="J132" i="46"/>
  <c r="J133" i="46"/>
  <c r="J134" i="46"/>
  <c r="J135" i="46"/>
  <c r="J136" i="46"/>
  <c r="J137" i="46"/>
  <c r="J138" i="46"/>
  <c r="J139" i="46"/>
  <c r="J140" i="46"/>
  <c r="J141" i="46"/>
  <c r="J142" i="46"/>
  <c r="J143" i="46"/>
  <c r="J144" i="46"/>
  <c r="J145" i="46"/>
  <c r="J146" i="46"/>
  <c r="J147" i="46"/>
  <c r="J148" i="46"/>
  <c r="J149" i="46"/>
  <c r="J150" i="46"/>
  <c r="J151" i="46"/>
  <c r="J152" i="46"/>
  <c r="J153" i="46"/>
  <c r="J154" i="46"/>
  <c r="J155" i="46"/>
  <c r="J156" i="46"/>
  <c r="J157" i="46"/>
  <c r="J158" i="46"/>
  <c r="J159" i="46"/>
  <c r="J160" i="46"/>
  <c r="J161" i="46"/>
  <c r="J162" i="46"/>
  <c r="J163" i="46"/>
  <c r="J164" i="46"/>
  <c r="J165" i="46"/>
  <c r="J166" i="46"/>
  <c r="J167" i="46"/>
  <c r="J168" i="46"/>
  <c r="J169" i="46"/>
  <c r="J170" i="46"/>
  <c r="J171" i="46"/>
  <c r="J172" i="46"/>
  <c r="J173" i="46"/>
  <c r="J174" i="46"/>
  <c r="J175" i="46"/>
  <c r="J176" i="46"/>
  <c r="J177" i="46"/>
  <c r="J178" i="46"/>
  <c r="J179" i="46"/>
  <c r="J180" i="46"/>
  <c r="J181" i="46"/>
  <c r="J182" i="46"/>
  <c r="J183" i="46"/>
  <c r="J184" i="46"/>
  <c r="J185" i="46"/>
  <c r="J186" i="46"/>
  <c r="J187" i="46"/>
  <c r="J188" i="46"/>
  <c r="J189" i="46"/>
  <c r="J190" i="46"/>
  <c r="J191" i="46"/>
  <c r="J192" i="46"/>
  <c r="J193" i="46"/>
  <c r="J194" i="46"/>
  <c r="J195" i="46"/>
  <c r="J196" i="46"/>
  <c r="J197" i="46"/>
  <c r="J198" i="46"/>
  <c r="J199" i="46"/>
  <c r="J200" i="46"/>
  <c r="J201" i="46"/>
  <c r="J202" i="46"/>
  <c r="J203" i="46"/>
  <c r="J204" i="46"/>
  <c r="J205" i="46"/>
  <c r="J206" i="46"/>
  <c r="J207" i="46"/>
  <c r="J208" i="46"/>
  <c r="J209" i="46"/>
  <c r="J210" i="46"/>
  <c r="J211" i="46"/>
  <c r="J212" i="46"/>
  <c r="J213" i="46"/>
  <c r="J5" i="46"/>
  <c r="J6" i="46"/>
  <c r="J7" i="46"/>
  <c r="J8" i="46"/>
  <c r="J9" i="46"/>
  <c r="J10" i="46"/>
  <c r="J11" i="46"/>
  <c r="J12" i="46"/>
  <c r="J13" i="46"/>
  <c r="J14" i="46"/>
  <c r="J15" i="46"/>
  <c r="J16" i="46"/>
  <c r="J17" i="46"/>
  <c r="J18" i="46"/>
  <c r="J19" i="46"/>
  <c r="J20" i="46"/>
  <c r="J21" i="46"/>
  <c r="J22" i="46"/>
  <c r="J23" i="46"/>
  <c r="J24" i="46"/>
  <c r="J25" i="46"/>
  <c r="J26" i="46"/>
  <c r="J27" i="46"/>
  <c r="J28" i="46"/>
  <c r="J29" i="46"/>
  <c r="J30" i="46"/>
  <c r="J31" i="46"/>
  <c r="J32" i="46"/>
  <c r="J33" i="46"/>
  <c r="J34" i="46"/>
  <c r="J35" i="46"/>
  <c r="J36" i="46"/>
  <c r="J37" i="46"/>
  <c r="J38" i="46"/>
  <c r="J39" i="46"/>
  <c r="J40" i="46"/>
  <c r="J41" i="46"/>
  <c r="J4" i="46"/>
  <c r="B25" i="57" l="1"/>
  <c r="B24" i="57"/>
</calcChain>
</file>

<file path=xl/sharedStrings.xml><?xml version="1.0" encoding="utf-8"?>
<sst xmlns="http://schemas.openxmlformats.org/spreadsheetml/2006/main" count="14205" uniqueCount="720">
  <si>
    <t>kN</t>
  </si>
  <si>
    <t>%</t>
  </si>
  <si>
    <t>mm</t>
  </si>
  <si>
    <t>℃</t>
  </si>
  <si>
    <t>MPa</t>
  </si>
  <si>
    <t>h</t>
  </si>
  <si>
    <t>MPa/s</t>
  </si>
  <si>
    <t>Project</t>
  </si>
  <si>
    <t>Test duration</t>
  </si>
  <si>
    <t>Test piece technical drawing</t>
  </si>
  <si>
    <t>Min. test piece diameter at room temperature</t>
  </si>
  <si>
    <t>Original gauge length</t>
  </si>
  <si>
    <t>Heating time</t>
  </si>
  <si>
    <t>Loading rate</t>
  </si>
  <si>
    <t>Unloading rate</t>
  </si>
  <si>
    <t>T</t>
  </si>
  <si>
    <t>Metadata</t>
  </si>
  <si>
    <t>Primary data</t>
  </si>
  <si>
    <t>Secondary data</t>
  </si>
  <si>
    <t>Heating speed</t>
  </si>
  <si>
    <t>Cooling speed</t>
  </si>
  <si>
    <t>Heat treatment</t>
  </si>
  <si>
    <t>Corrected measured temperature</t>
  </si>
  <si>
    <t>Percentage creep extension</t>
  </si>
  <si>
    <t>Percentage plastic extension</t>
  </si>
  <si>
    <t>Percentage total extension</t>
  </si>
  <si>
    <t>Mandatory</t>
  </si>
  <si>
    <t>Percentage elastic extension</t>
  </si>
  <si>
    <t>Extensometer gauge length</t>
  </si>
  <si>
    <t>Reference length for calculation of percentage elongations</t>
  </si>
  <si>
    <t>Reference length for calculation of percentage extensions</t>
  </si>
  <si>
    <t>Extension range - Upper limit</t>
  </si>
  <si>
    <t>Extension range - Lower limit</t>
  </si>
  <si>
    <t>Percentage initial total extension</t>
  </si>
  <si>
    <t>Percentage initial plastic extension</t>
  </si>
  <si>
    <t>e</t>
  </si>
  <si>
    <t>t</t>
  </si>
  <si>
    <t>Percentage elongation after creep fracture</t>
  </si>
  <si>
    <t>Final gauge length after fracture</t>
  </si>
  <si>
    <t>Test order</t>
  </si>
  <si>
    <t>Test piece</t>
  </si>
  <si>
    <t>Test ID</t>
  </si>
  <si>
    <t>Test info</t>
  </si>
  <si>
    <t>Test piece ID</t>
  </si>
  <si>
    <t>Equipment ID - Extensometer</t>
  </si>
  <si>
    <t>Elapsed time from end of loading</t>
  </si>
  <si>
    <r>
      <t>T</t>
    </r>
    <r>
      <rPr>
        <vertAlign val="subscript"/>
        <sz val="12"/>
        <rFont val="Calibri"/>
        <family val="2"/>
        <scheme val="minor"/>
      </rPr>
      <t>c</t>
    </r>
  </si>
  <si>
    <t>Extension</t>
  </si>
  <si>
    <t>No</t>
  </si>
  <si>
    <r>
      <t>L</t>
    </r>
    <r>
      <rPr>
        <sz val="8"/>
        <rFont val="Calibri"/>
        <family val="2"/>
        <scheme val="minor"/>
      </rPr>
      <t>u</t>
    </r>
  </si>
  <si>
    <r>
      <t>A</t>
    </r>
    <r>
      <rPr>
        <sz val="8"/>
        <rFont val="Calibri"/>
        <family val="2"/>
        <scheme val="minor"/>
      </rPr>
      <t>u</t>
    </r>
  </si>
  <si>
    <t>µm</t>
  </si>
  <si>
    <t>Microstructure after test (SX/PX, gprime-Vol, gprime-size, dendrites)</t>
  </si>
  <si>
    <t>Soak time before the test</t>
  </si>
  <si>
    <t>Date of test start</t>
  </si>
  <si>
    <t>Data of test end</t>
  </si>
  <si>
    <t>Condition</t>
  </si>
  <si>
    <t>Microstructure</t>
  </si>
  <si>
    <t>History and condition of the material</t>
  </si>
  <si>
    <t>Chemical composition</t>
  </si>
  <si>
    <t>Atmosphere</t>
  </si>
  <si>
    <t>Single or polycrystal solidified</t>
  </si>
  <si>
    <t>Gamma'-particles', average size</t>
  </si>
  <si>
    <t>Gamma'-particles', maximum size</t>
  </si>
  <si>
    <t>Related research outcome</t>
  </si>
  <si>
    <t>Related article(s) available?</t>
  </si>
  <si>
    <t>Yes / No</t>
  </si>
  <si>
    <t>https://doi.org/10.1080/09603409.2016.1186414</t>
  </si>
  <si>
    <t>https://doi.org/10.1002/adem.201400136</t>
  </si>
  <si>
    <t>DOI Article 1</t>
  </si>
  <si>
    <t>Short description of content article 1</t>
  </si>
  <si>
    <t>DOI Article 2</t>
  </si>
  <si>
    <t>Short description of content article 2</t>
  </si>
  <si>
    <t>Description of alloy composition, heat treatment and initial microstructure</t>
  </si>
  <si>
    <t>NFDI-MatWerk</t>
  </si>
  <si>
    <t>Tension / Compression / Bending</t>
  </si>
  <si>
    <t>Test piece break / Time limit / Extension limit</t>
  </si>
  <si>
    <t>Supplier</t>
  </si>
  <si>
    <t>005735 / ERBO 1A Item 1</t>
  </si>
  <si>
    <t>Optional</t>
  </si>
  <si>
    <t>Constant force / Constant stress</t>
  </si>
  <si>
    <t>DOI Article n</t>
  </si>
  <si>
    <t>Short description of content article n</t>
  </si>
  <si>
    <t>Casting temperature</t>
  </si>
  <si>
    <t>Casting speed</t>
  </si>
  <si>
    <t>°C</t>
  </si>
  <si>
    <t>Heat treatment - Protocol file</t>
  </si>
  <si>
    <t>Multistage annealing?</t>
  </si>
  <si>
    <t>Multistage ageing?</t>
  </si>
  <si>
    <t>Yes / No / N/A</t>
  </si>
  <si>
    <t>Heat treatment - Annealing - Description</t>
  </si>
  <si>
    <t>Heat treatment - Ageing - Description</t>
  </si>
  <si>
    <t>wt.-%</t>
  </si>
  <si>
    <t>Type of investigation (characterization method)</t>
  </si>
  <si>
    <t>≥ 85 % vol. fraction</t>
  </si>
  <si>
    <t>Chemical composition - nominal</t>
  </si>
  <si>
    <t>Chemical composition - measured (including precision)</t>
  </si>
  <si>
    <t>5.1</t>
  </si>
  <si>
    <t>0.5 ± 0.2</t>
  </si>
  <si>
    <t>1.0</t>
  </si>
  <si>
    <t>Partitioning of alloy elements in microstructure (dendrite cores and ID regions)</t>
  </si>
  <si>
    <t>Chemical composition in gamma and gamma' regions (dendrite cores and ID regions)</t>
  </si>
  <si>
    <t>X-Ray film</t>
  </si>
  <si>
    <t>Grain size - documentation</t>
  </si>
  <si>
    <t>Grain size (if polycrystal)</t>
  </si>
  <si>
    <t>Data acquisition - description</t>
  </si>
  <si>
    <t>Control via thermocouples on sample/via furnace</t>
  </si>
  <si>
    <t>22.78</t>
  </si>
  <si>
    <t>2.97</t>
  </si>
  <si>
    <t>1.25</t>
  </si>
  <si>
    <t>166.3</t>
  </si>
  <si>
    <t>11.33</t>
  </si>
  <si>
    <t>5.4</t>
  </si>
  <si>
    <t>℃/min</t>
  </si>
  <si>
    <t>Workshop order ID/ref.</t>
  </si>
  <si>
    <t>Hardness</t>
  </si>
  <si>
    <t>Test type</t>
  </si>
  <si>
    <t>Heat treatment - State</t>
  </si>
  <si>
    <t>Creep rupture time</t>
  </si>
  <si>
    <t>Calibration class</t>
  </si>
  <si>
    <t>Calibration standard</t>
  </si>
  <si>
    <t>Range of calibration</t>
  </si>
  <si>
    <t>Is/are the thermocouples calibrated?</t>
  </si>
  <si>
    <t>Initial stress</t>
  </si>
  <si>
    <t>Test force</t>
  </si>
  <si>
    <t>Completely dissolved and re-precipitated gamma-gamma' regions</t>
  </si>
  <si>
    <t>Dendrite spacings</t>
  </si>
  <si>
    <t>0.2 % Proof strength at room temperature</t>
  </si>
  <si>
    <t>Date of supply</t>
  </si>
  <si>
    <t>Order number</t>
  </si>
  <si>
    <t>Supplier sample ID</t>
  </si>
  <si>
    <t>Other additional information (e.g. if constant stress)</t>
  </si>
  <si>
    <t>Max. applied force</t>
  </si>
  <si>
    <t>Further information about sample(s)</t>
  </si>
  <si>
    <t>Specified temperature</t>
  </si>
  <si>
    <t>Sensor type</t>
  </si>
  <si>
    <t>300-1200</t>
  </si>
  <si>
    <t>Calibration method</t>
  </si>
  <si>
    <t>Reference junction</t>
  </si>
  <si>
    <t>Wire gauge</t>
  </si>
  <si>
    <t>Layout</t>
  </si>
  <si>
    <t>Application: location with respect to gauge section</t>
  </si>
  <si>
    <t>Is/are the data acquisition unit calibrated?</t>
  </si>
  <si>
    <t>0.2</t>
  </si>
  <si>
    <t>Vh5205-C-99</t>
  </si>
  <si>
    <t xml:space="preserve">Range of calibration  </t>
  </si>
  <si>
    <t>D</t>
  </si>
  <si>
    <t>Information on phase equilibrium</t>
  </si>
  <si>
    <t>Measuring point</t>
  </si>
  <si>
    <t>Measurement method</t>
  </si>
  <si>
    <t>Type of test piece I</t>
  </si>
  <si>
    <t>Miniaturized specimen / Specimen according to standard</t>
  </si>
  <si>
    <t>Type of test piece II</t>
  </si>
  <si>
    <t>Type of test piece III</t>
  </si>
  <si>
    <t>Link to data or documentation from previous experiments</t>
  </si>
  <si>
    <t>Measuring and test equipment</t>
  </si>
  <si>
    <t>Min. applied force</t>
  </si>
  <si>
    <t>Calibration class (Alignment)</t>
  </si>
  <si>
    <t>Data acquisition</t>
  </si>
  <si>
    <t>Data acquisition unit - Model information</t>
  </si>
  <si>
    <t>Was the time checked during data acquisition?</t>
  </si>
  <si>
    <t>Calibration certificate</t>
  </si>
  <si>
    <t>1-20 / 1-10 / …</t>
  </si>
  <si>
    <t>Has a calibration of the test force data acquisition been performed?</t>
  </si>
  <si>
    <t>Was the room temperature recorded and checked?</t>
  </si>
  <si>
    <t>Application: contact method</t>
  </si>
  <si>
    <t>Application: number of thermocouples</t>
  </si>
  <si>
    <t>100-1200</t>
  </si>
  <si>
    <t>Measuring instrument</t>
  </si>
  <si>
    <t>Measurement one-sided or two-sided?</t>
  </si>
  <si>
    <t>Mounting type</t>
  </si>
  <si>
    <t>% (mm)</t>
  </si>
  <si>
    <t>Test result</t>
  </si>
  <si>
    <t>"4" / "5"</t>
  </si>
  <si>
    <t>"5,65"</t>
  </si>
  <si>
    <t>Elongation</t>
  </si>
  <si>
    <t>Position of the fracture</t>
  </si>
  <si>
    <t>Interruption course</t>
  </si>
  <si>
    <t>Unloading before cooling / Unloading after cooling</t>
  </si>
  <si>
    <t>Elongation values</t>
  </si>
  <si>
    <t>Percentage permanent elongation</t>
  </si>
  <si>
    <r>
      <t>A</t>
    </r>
    <r>
      <rPr>
        <vertAlign val="subscript"/>
        <sz val="12"/>
        <rFont val="Calibri"/>
        <family val="2"/>
        <scheme val="minor"/>
      </rPr>
      <t>per</t>
    </r>
  </si>
  <si>
    <r>
      <t>Z</t>
    </r>
    <r>
      <rPr>
        <vertAlign val="subscript"/>
        <sz val="12"/>
        <rFont val="Calibri"/>
        <family val="2"/>
        <scheme val="minor"/>
      </rPr>
      <t>u</t>
    </r>
  </si>
  <si>
    <t>Extension values</t>
  </si>
  <si>
    <t>28.0</t>
  </si>
  <si>
    <t>27.7</t>
  </si>
  <si>
    <t xml:space="preserve">Vh5205-C-99 </t>
  </si>
  <si>
    <t>Test parameters</t>
  </si>
  <si>
    <t>Preload (Part of the test force)</t>
  </si>
  <si>
    <t>Images of the microstructure before testing</t>
  </si>
  <si>
    <t>Images of the microstructure after testing</t>
  </si>
  <si>
    <t>Was the humidity recorded and checked?</t>
  </si>
  <si>
    <t>Measurement: axial or diametrical action?</t>
  </si>
  <si>
    <t>Force</t>
  </si>
  <si>
    <t>% / mm</t>
  </si>
  <si>
    <t xml:space="preserve"> </t>
  </si>
  <si>
    <t>Yes</t>
  </si>
  <si>
    <t>980 °C</t>
  </si>
  <si>
    <t>Tension</t>
  </si>
  <si>
    <t>Constant force</t>
  </si>
  <si>
    <t>CMSX-6</t>
  </si>
  <si>
    <t>Heat Treated</t>
  </si>
  <si>
    <t>C</t>
  </si>
  <si>
    <t>Si</t>
  </si>
  <si>
    <t>Mn</t>
  </si>
  <si>
    <t>S</t>
  </si>
  <si>
    <t>Ag</t>
  </si>
  <si>
    <t>Al</t>
  </si>
  <si>
    <t>B</t>
  </si>
  <si>
    <t>Bi</t>
  </si>
  <si>
    <t>Cb</t>
  </si>
  <si>
    <t>Co</t>
  </si>
  <si>
    <t>Cr</t>
  </si>
  <si>
    <t>Cu</t>
  </si>
  <si>
    <t>Fe</t>
  </si>
  <si>
    <t>Ga</t>
  </si>
  <si>
    <t>Hf</t>
  </si>
  <si>
    <t>Mg</t>
  </si>
  <si>
    <t>Mo</t>
  </si>
  <si>
    <t>N</t>
  </si>
  <si>
    <t>Ni</t>
  </si>
  <si>
    <t>O</t>
  </si>
  <si>
    <t>P</t>
  </si>
  <si>
    <t>Pb</t>
  </si>
  <si>
    <t>Se</t>
  </si>
  <si>
    <t>Re</t>
  </si>
  <si>
    <t>Ta</t>
  </si>
  <si>
    <t>Te</t>
  </si>
  <si>
    <t>Ti</t>
  </si>
  <si>
    <t>Tl</t>
  </si>
  <si>
    <t>W</t>
  </si>
  <si>
    <t>Zr</t>
  </si>
  <si>
    <t>Al+Ti</t>
  </si>
  <si>
    <t>Sn</t>
  </si>
  <si>
    <t>Sb</t>
  </si>
  <si>
    <t>As</t>
  </si>
  <si>
    <t>Zn</t>
  </si>
  <si>
    <t>Hg</t>
  </si>
  <si>
    <t>U</t>
  </si>
  <si>
    <t>Cd</t>
  </si>
  <si>
    <t>Ge</t>
  </si>
  <si>
    <t>V</t>
  </si>
  <si>
    <t>Y</t>
  </si>
  <si>
    <t>Pt</t>
  </si>
  <si>
    <t>Au</t>
  </si>
  <si>
    <t>In</t>
  </si>
  <si>
    <t>Na</t>
  </si>
  <si>
    <t>K</t>
  </si>
  <si>
    <t>Min.</t>
  </si>
  <si>
    <t>Max.</t>
  </si>
  <si>
    <t>&lt; 0,02</t>
  </si>
  <si>
    <t>&lt; 0,001</t>
  </si>
  <si>
    <t>&lt; 2</t>
  </si>
  <si>
    <t>&lt; 1</t>
  </si>
  <si>
    <t>&lt; 20</t>
  </si>
  <si>
    <t>&lt; 0,2</t>
  </si>
  <si>
    <t>&lt; 0,05</t>
  </si>
  <si>
    <t>&lt; 10</t>
  </si>
  <si>
    <t>&lt; 100</t>
  </si>
  <si>
    <t>Balance</t>
  </si>
  <si>
    <t>&lt; 0,5</t>
  </si>
  <si>
    <t>&lt; ,1</t>
  </si>
  <si>
    <t>&lt; 0,1</t>
  </si>
  <si>
    <t>&lt; 5</t>
  </si>
  <si>
    <t>&lt; 3</t>
  </si>
  <si>
    <t>&lt; 0,005</t>
  </si>
  <si>
    <t>Th</t>
  </si>
  <si>
    <t>Round cross section</t>
  </si>
  <si>
    <t>Smooth test piece</t>
  </si>
  <si>
    <t>Thermocouple</t>
  </si>
  <si>
    <t>DIN EN ISO 7500-2: 2007</t>
  </si>
  <si>
    <t>Calibration validity time period</t>
  </si>
  <si>
    <t xml:space="preserve">Calibration date </t>
  </si>
  <si>
    <t>EURAMET/cg-11/v0.1</t>
  </si>
  <si>
    <t>100 - 1300 °C</t>
  </si>
  <si>
    <t>At test piece in parallel length</t>
  </si>
  <si>
    <t>DIN EN ISO 9513</t>
  </si>
  <si>
    <t>Unloading after cooling</t>
  </si>
  <si>
    <t>PCC Airfoils, Inc. Minerva, Ohio.</t>
  </si>
  <si>
    <t>Measuring amplifier</t>
  </si>
  <si>
    <t xml:space="preserve">Extensometer model information </t>
  </si>
  <si>
    <t>Contacting extensometer</t>
  </si>
  <si>
    <t>Non-contacting extensometer</t>
  </si>
  <si>
    <t>Values recorded during test run</t>
  </si>
  <si>
    <t>Heat treated / As manufactured</t>
  </si>
  <si>
    <t>Vacuum Induction Refined</t>
  </si>
  <si>
    <t>Values recorded at test start</t>
  </si>
  <si>
    <t>Type of strain measuring device</t>
  </si>
  <si>
    <t>Clip-on extensometer</t>
  </si>
  <si>
    <t>Description of upper/lower legs (LVDT systems)</t>
  </si>
  <si>
    <t xml:space="preserve">Values recorded after end of test </t>
  </si>
  <si>
    <t>Nominal gauge length (if applicable)</t>
  </si>
  <si>
    <t>Contacting extensometer / Non-contacting extensometer</t>
  </si>
  <si>
    <t>Is the extensometer incl. the data acquisition calibrated?</t>
  </si>
  <si>
    <t>Material related</t>
  </si>
  <si>
    <t>As-manufactured material</t>
  </si>
  <si>
    <t>Results from NDT</t>
  </si>
  <si>
    <t>Test machine</t>
  </si>
  <si>
    <t>0.2 % Proof strength at creep test temperature</t>
  </si>
  <si>
    <t>Test machine ID</t>
  </si>
  <si>
    <t>Type of test machine</t>
  </si>
  <si>
    <t>Was the test performed according to a test standard?</t>
  </si>
  <si>
    <t>Test standard</t>
  </si>
  <si>
    <t>Description of the as-manufactured material (geometry and dimensions)</t>
  </si>
  <si>
    <t xml:space="preserve">Description of the manufacturing process - as-manufactured material
</t>
  </si>
  <si>
    <t xml:space="preserve">Description of the manufacturing process - as-tested material
</t>
  </si>
  <si>
    <t>Software, if applicable, including product and version</t>
  </si>
  <si>
    <t>Related publications, if applicable</t>
  </si>
  <si>
    <t>Was the force recorded continuously or phase-wise (e.g. during loading)?</t>
  </si>
  <si>
    <t>Test job details</t>
  </si>
  <si>
    <t>Type of loading</t>
  </si>
  <si>
    <t>Load control type</t>
  </si>
  <si>
    <t>(Digital) Material Identifier</t>
  </si>
  <si>
    <t>Were automated (user-independent) analysis workflows used?</t>
  </si>
  <si>
    <t>s</t>
  </si>
  <si>
    <t>Deviation detected during calibration</t>
  </si>
  <si>
    <t>Equipment ID</t>
  </si>
  <si>
    <t>Percentage plastic extension from end of loading</t>
  </si>
  <si>
    <t>Drop-down list</t>
  </si>
  <si>
    <t>Date</t>
  </si>
  <si>
    <t>Text</t>
  </si>
  <si>
    <t>ISO 204 / ASTM E139</t>
  </si>
  <si>
    <t>NIMONIC 75 / 2.4630 / CMSX-6 / CMSX-4 / ERBO1 / …</t>
  </si>
  <si>
    <t>Alphanumeric</t>
  </si>
  <si>
    <t>Type of as-manufactured material
(Cast / Ingot / Extrusion rod / …)</t>
  </si>
  <si>
    <t>Cast / Ingot / Extrusion rod</t>
  </si>
  <si>
    <t>Alphanumeric / Link</t>
  </si>
  <si>
    <t>Link to technical drawing file</t>
  </si>
  <si>
    <t>Heat-up at 20 °C per min auf 1290 °C, Hold at 1290 °C 1h, Heat-up at 1°C per min to 1300 °C - 1315 °C, Hold at 1300 °C - 1315 °C for 6h. Cool down at 150 °C - 400 °C per min to ≤ 800 °C. Further cooling as required.</t>
  </si>
  <si>
    <t>File</t>
  </si>
  <si>
    <t>On test piece / On as-tested material / Other (Specify)</t>
  </si>
  <si>
    <t>Text, Keywords-like field</t>
  </si>
  <si>
    <t>STEM, HRTEM, TEM-EDX, AFM, SEM, SEM-EBSD, ….</t>
  </si>
  <si>
    <t>Numeric</t>
  </si>
  <si>
    <t>According to ASTM E112-13, in the bulk</t>
  </si>
  <si>
    <t xml:space="preserve"> X-Ray / EBSD Results</t>
  </si>
  <si>
    <t>EBSD/XRD for each blank</t>
  </si>
  <si>
    <t>400 HV1</t>
  </si>
  <si>
    <t>Test piece history</t>
  </si>
  <si>
    <t>Location of the test piece within the as-tested material</t>
  </si>
  <si>
    <t>Round cross section / Rectangular section</t>
  </si>
  <si>
    <t>Smooth test piece / Notched test piece / Other type (specify)</t>
  </si>
  <si>
    <t>Roughness Ra = 1</t>
  </si>
  <si>
    <t>Verification of Test Frame and Specimen Alignment according to ASTM E1012?</t>
  </si>
  <si>
    <t>Data acquisition was performed every 5 min before load application, every 0.1 s during load application, and every 5 s to max. 10 min after load application, depending on the test duration and when a selected displacement interval is exceeded.</t>
  </si>
  <si>
    <t>DIN EN ISO 7500-2</t>
  </si>
  <si>
    <t>Entry is mandatory. "Yes" is not mandatory.</t>
  </si>
  <si>
    <t>Phase-wise (during loading)</t>
  </si>
  <si>
    <t>"Yes" is mandatory</t>
  </si>
  <si>
    <t>On test piece / Via furnace</t>
  </si>
  <si>
    <t>Metrological traceability
(Yes, if Sensor AND Data acquisition checked)</t>
  </si>
  <si>
    <t>52-PM102-0331</t>
  </si>
  <si>
    <t>B / R / S / K / Other (Specify)…</t>
  </si>
  <si>
    <t>0.5</t>
  </si>
  <si>
    <t>Type of thermocouple</t>
  </si>
  <si>
    <t>ASTM E220 / EURAMET cg-08</t>
  </si>
  <si>
    <t>± 1.5</t>
  </si>
  <si>
    <t>1 / 2 / 3</t>
  </si>
  <si>
    <t>Calibration date</t>
  </si>
  <si>
    <t>Comparison method</t>
  </si>
  <si>
    <t>EURAMET cg-11 / Other (specify)</t>
  </si>
  <si>
    <t>One-sided / Two-sided</t>
  </si>
  <si>
    <t>Axial action / Diametrical action</t>
  </si>
  <si>
    <t xml:space="preserve">At test piece in parallel length / At collars </t>
  </si>
  <si>
    <t>ASTM E139 requires two-sided strain measurement</t>
  </si>
  <si>
    <t>19.05</t>
  </si>
  <si>
    <t>Sensor type - Contacting extensometer</t>
  </si>
  <si>
    <t>Sensor type - Non-contacting extensometer</t>
  </si>
  <si>
    <t>LVDT with extension legs / Clip-on extensometer</t>
  </si>
  <si>
    <t>Laserextensometer / Digital image correlation technique</t>
  </si>
  <si>
    <t>Ceramic legs / Metallic legs</t>
  </si>
  <si>
    <t>20 / 5 / -20 (mm)</t>
  </si>
  <si>
    <t>-10 / -2,5 / 0 (mm)</t>
  </si>
  <si>
    <t>1 / B2</t>
  </si>
  <si>
    <t>30 (7.5)</t>
  </si>
  <si>
    <t>Centered / 
At the edge of the upper/lower extensometer gauge length/parallel length / 
Outside the extensometer gauge length/parallel length</t>
  </si>
  <si>
    <t>ENTRY</t>
  </si>
  <si>
    <t>SYMBOL</t>
  </si>
  <si>
    <t>UNIT</t>
  </si>
  <si>
    <t>COMMENT</t>
  </si>
  <si>
    <t>Uninterrupted creep tests with continuous monitoring of extension  / Interrupted creep tests with periodic measurement of elongation / Stress rupture tests where normally only the time to fracture is measured</t>
  </si>
  <si>
    <t>Thermocouple / Thermocamera</t>
  </si>
  <si>
    <t>Proof of single crystallinity</t>
  </si>
  <si>
    <t>Doncasters Precision Castings-Bochum GmbH</t>
  </si>
  <si>
    <t>Centers of gravity of blanks and test pieces  coincident</t>
  </si>
  <si>
    <t>National Instruments NI SXCI-1600</t>
  </si>
  <si>
    <t>Data acquisition software and version</t>
  </si>
  <si>
    <t>Lab's own development (v22.08.22)</t>
  </si>
  <si>
    <t>Alphanumeric / (Link to) Image or technical drawing</t>
  </si>
  <si>
    <t>Plate (140 mm x 100 mm x 20 mm) / (link to) image or technical drawing</t>
  </si>
  <si>
    <t>Under inert gas at (1140 ± 10) °C 4 h / cooling down to 800 °C under inert gas, below 800 °C under inert gas or in air then: Under inert gas at (870 ± 10) °C 16 h cooling down to 800 °C under inert gas; below 800 °C to room temperature under inert gas or in air.</t>
  </si>
  <si>
    <t>19.08</t>
  </si>
  <si>
    <t>Was there an averaging of the strain/distance values? (two-sided extensometer)</t>
  </si>
  <si>
    <t>Enhanced Al concentration in the ID regions, while Re partitions to the dendrites, by WDX-EPMA</t>
  </si>
  <si>
    <t>X-ray fluorescence spectroscopy (XRF) was used for all major elements except for Re. Re contents were determined using inductive coupled plasma atomic emission spectroscopy (ICP-AES)</t>
  </si>
  <si>
    <t>5 / 5 starting from 3 kN</t>
  </si>
  <si>
    <t>Cast / Melting, Casting, and Remelting  / Induction melting in air, casting into a circular ingot and then electroslag remelting</t>
  </si>
  <si>
    <t>Cut out from the cast plate. No further heat treatment</t>
  </si>
  <si>
    <t>DATA TYPE</t>
  </si>
  <si>
    <t>EXEMPLARY ANSWER / OPTIONS (IN CASE OF DROP-DOWN LIST)</t>
  </si>
  <si>
    <t>MTS 632.53F-31 / HBM WA20</t>
  </si>
  <si>
    <t>DIN EN ISO 9513 / ASTM E83</t>
  </si>
  <si>
    <t>This version of the data schema covers creep tests with the following features:
   - It considers single- and poly-crystalline specimen material 
   - Terminology is aligned with ISO 204: 2022
   - Creep test under tension and constant force   
   - Temperature measurement with thermocouples
   - Contacting extensometer system
Columns B to E are categories that define the overarching structure of the schema. Columns F to H are the single entries with the respective symbol and unit, if applicable. The units are community-common units. Column I is the data type. It should give a first hint on how to answer to each entry field. Column J provides exemplary answers for most of the entries and the options of the related drop-down list, if applicable. Column K is the requirement profile (see text on the right). Column L includes further explanations on the requirement and on the applicability of some entries.</t>
  </si>
  <si>
    <t>ROW</t>
  </si>
  <si>
    <t>CATEGORY I</t>
  </si>
  <si>
    <t>CATEGORY II</t>
  </si>
  <si>
    <t>CATEGORY III</t>
  </si>
  <si>
    <t>CATEGORY IV (Detailed Information)</t>
  </si>
  <si>
    <t>End of test criterium</t>
  </si>
  <si>
    <t>End of test criterium - value (if not test piece break)</t>
  </si>
  <si>
    <t>Creep data as published</t>
  </si>
  <si>
    <t>Text / (Link to) File, preferably with machine-readable (meta)data</t>
  </si>
  <si>
    <t>As-tested material</t>
  </si>
  <si>
    <t>Plate of 30 mm, rectangular section taken from pipe wall / (Link to) Image or technical drawing</t>
  </si>
  <si>
    <t>(Link to) File, preferably with machine-readable (meta)dataeta)data</t>
  </si>
  <si>
    <t>(Link to) File, preferably with machine-readable (meta)data or the possibility of adding the wt.-% value of each element in individual fields</t>
  </si>
  <si>
    <t>(Link to) File, preferably with machine-readable (meta)data  or the possibility of adding the wt.-% value of each element in individual fields</t>
  </si>
  <si>
    <t>(Link to) File, preferably with machine-readable (meta)data</t>
  </si>
  <si>
    <t>Grain size - Determination method, measuring point</t>
  </si>
  <si>
    <t>Single crystal orientation
(Laue Crystal Verification. Must be documented for each test piece)</t>
  </si>
  <si>
    <t>Single crystal orientation - Determination method, measuring point</t>
  </si>
  <si>
    <t>Accuracy of the determination of the single crystal orientation</t>
  </si>
  <si>
    <t>Crack inspection: e.g., Penetrant certification/Radiographic certification/XCT</t>
  </si>
  <si>
    <t>Results from other mech. tests</t>
  </si>
  <si>
    <t>Alphanumeric / (Link to) File, preferably with machine-readable (meta)data</t>
  </si>
  <si>
    <t>Please provide a description on the procedure followed for the Verification of Test Frame and Specimen Alignment if different from ASTM E1012</t>
  </si>
  <si>
    <t>Data acquisition unit - Laboratory ID</t>
  </si>
  <si>
    <t>Loading system</t>
  </si>
  <si>
    <t>Was the loading system calibrated/verified?</t>
  </si>
  <si>
    <t>ISO 204 (row 7): at least class 1 (ISO 7500-2)</t>
  </si>
  <si>
    <t>Were calibrated weights used to apply the test force?</t>
  </si>
  <si>
    <t>Load sensor</t>
  </si>
  <si>
    <t>Laboratory conditions</t>
  </si>
  <si>
    <t>Temperature-measuring system</t>
  </si>
  <si>
    <t>Furnace type</t>
  </si>
  <si>
    <t>Split Tube Furnace with Two-zones /  Split Tube Furnace with Three-zones / Other (specify)</t>
  </si>
  <si>
    <t>Additional fields for non-contacting thermal measurement methods will be provided in upcoming versions</t>
  </si>
  <si>
    <t>Extensometer system</t>
  </si>
  <si>
    <t>Data processing procedures</t>
  </si>
  <si>
    <t>Parallel length</t>
  </si>
  <si>
    <r>
      <t>L</t>
    </r>
    <r>
      <rPr>
        <sz val="8"/>
        <rFont val="Calibri"/>
        <family val="2"/>
        <scheme val="minor"/>
      </rPr>
      <t>r</t>
    </r>
    <r>
      <rPr>
        <sz val="12"/>
        <rFont val="Calibri"/>
        <family val="2"/>
        <scheme val="minor"/>
      </rPr>
      <t xml:space="preserve"> = L</t>
    </r>
    <r>
      <rPr>
        <vertAlign val="subscript"/>
        <sz val="12"/>
        <rFont val="Calibri"/>
        <family val="2"/>
        <scheme val="minor"/>
      </rPr>
      <t>o</t>
    </r>
  </si>
  <si>
    <r>
      <t>Reference length for calculation of percentage elongations if L</t>
    </r>
    <r>
      <rPr>
        <vertAlign val="subscript"/>
        <sz val="12"/>
        <rFont val="Calibri"/>
        <family val="2"/>
        <scheme val="minor"/>
      </rPr>
      <t>o</t>
    </r>
    <r>
      <rPr>
        <sz val="12"/>
        <rFont val="Calibri"/>
        <family val="2"/>
        <scheme val="minor"/>
      </rPr>
      <t xml:space="preserve"> and/or extensometer L</t>
    </r>
    <r>
      <rPr>
        <vertAlign val="subscript"/>
        <sz val="12"/>
        <rFont val="Calibri"/>
        <family val="2"/>
        <scheme val="minor"/>
      </rPr>
      <t>e</t>
    </r>
    <r>
      <rPr>
        <sz val="12"/>
        <rFont val="Calibri"/>
        <family val="2"/>
        <scheme val="minor"/>
      </rPr>
      <t xml:space="preserve"> are outside the parallel length.</t>
    </r>
  </si>
  <si>
    <r>
      <t>L</t>
    </r>
    <r>
      <rPr>
        <sz val="8"/>
        <rFont val="Calibri"/>
        <family val="2"/>
        <scheme val="minor"/>
      </rPr>
      <t>r</t>
    </r>
    <r>
      <rPr>
        <sz val="12"/>
        <rFont val="Calibri"/>
        <family val="2"/>
        <scheme val="minor"/>
      </rPr>
      <t xml:space="preserve"> (if Lr &gt; L</t>
    </r>
    <r>
      <rPr>
        <vertAlign val="subscript"/>
        <sz val="12"/>
        <rFont val="Calibri"/>
        <family val="2"/>
        <scheme val="minor"/>
      </rPr>
      <t>c</t>
    </r>
    <r>
      <rPr>
        <sz val="12"/>
        <rFont val="Calibri"/>
        <family val="2"/>
        <scheme val="minor"/>
      </rPr>
      <t>)</t>
    </r>
  </si>
  <si>
    <r>
      <t>L</t>
    </r>
    <r>
      <rPr>
        <sz val="8"/>
        <rFont val="Calibri"/>
        <family val="2"/>
        <scheme val="minor"/>
      </rPr>
      <t>r</t>
    </r>
    <r>
      <rPr>
        <sz val="12"/>
        <rFont val="Calibri"/>
        <family val="2"/>
        <scheme val="minor"/>
      </rPr>
      <t xml:space="preserve"> = L</t>
    </r>
    <r>
      <rPr>
        <vertAlign val="subscript"/>
        <sz val="12"/>
        <rFont val="Calibri"/>
        <family val="2"/>
        <scheme val="minor"/>
      </rPr>
      <t>e</t>
    </r>
  </si>
  <si>
    <t>Ratio Lr / D ; (if Lr = Lo)</t>
  </si>
  <si>
    <t>Lr / D ; (if Lr = Lo)</t>
  </si>
  <si>
    <t>k-Value for Lr (if Lr = Lo)</t>
  </si>
  <si>
    <r>
      <t xml:space="preserve">Lr / </t>
    </r>
    <r>
      <rPr>
        <sz val="12"/>
        <rFont val="Calibri"/>
        <family val="2"/>
      </rPr>
      <t>√</t>
    </r>
    <r>
      <rPr>
        <sz val="12"/>
        <rFont val="Calibri"/>
        <family val="2"/>
        <scheme val="minor"/>
      </rPr>
      <t>S</t>
    </r>
    <r>
      <rPr>
        <vertAlign val="subscript"/>
        <sz val="12"/>
        <rFont val="Calibri"/>
        <family val="2"/>
        <scheme val="minor"/>
      </rPr>
      <t>o</t>
    </r>
    <r>
      <rPr>
        <sz val="12"/>
        <rFont val="Calibri"/>
        <family val="2"/>
        <scheme val="minor"/>
      </rPr>
      <t xml:space="preserve"> (if Lr = Lo)</t>
    </r>
  </si>
  <si>
    <t>Ratio Lr / D ; (if Lr &gt; Lc)</t>
  </si>
  <si>
    <t>Lr / D ; (if Lr &gt; Lc)</t>
  </si>
  <si>
    <t>k-Value for Lr (if Lr &gt; Lc)</t>
  </si>
  <si>
    <r>
      <t xml:space="preserve">Lr / </t>
    </r>
    <r>
      <rPr>
        <sz val="12"/>
        <rFont val="Calibri"/>
        <family val="2"/>
      </rPr>
      <t>√</t>
    </r>
    <r>
      <rPr>
        <sz val="12"/>
        <rFont val="Calibri"/>
        <family val="2"/>
        <scheme val="minor"/>
      </rPr>
      <t>S</t>
    </r>
    <r>
      <rPr>
        <vertAlign val="subscript"/>
        <sz val="12"/>
        <rFont val="Calibri"/>
        <family val="2"/>
        <scheme val="minor"/>
      </rPr>
      <t>o</t>
    </r>
    <r>
      <rPr>
        <sz val="12"/>
        <rFont val="Calibri"/>
        <family val="2"/>
        <scheme val="minor"/>
      </rPr>
      <t xml:space="preserve"> ; (if Lr &gt; Lc)</t>
    </r>
  </si>
  <si>
    <t>Ratio Lr / D ; (if Lr = Le)</t>
  </si>
  <si>
    <t>Lr / D  (if Lr = Le)</t>
  </si>
  <si>
    <t>k-Value for Lr  (if Lr = Le)</t>
  </si>
  <si>
    <r>
      <t xml:space="preserve">Lr / </t>
    </r>
    <r>
      <rPr>
        <sz val="12"/>
        <rFont val="Calibri"/>
        <family val="2"/>
      </rPr>
      <t>√</t>
    </r>
    <r>
      <rPr>
        <sz val="12"/>
        <rFont val="Calibri"/>
        <family val="2"/>
        <scheme val="minor"/>
      </rPr>
      <t>S</t>
    </r>
    <r>
      <rPr>
        <vertAlign val="subscript"/>
        <sz val="12"/>
        <rFont val="Calibri"/>
        <family val="2"/>
        <scheme val="minor"/>
      </rPr>
      <t>o</t>
    </r>
    <r>
      <rPr>
        <sz val="12"/>
        <rFont val="Calibri"/>
        <family val="2"/>
        <scheme val="minor"/>
      </rPr>
      <t xml:space="preserve">  ; (if Lr = Le)</t>
    </r>
  </si>
  <si>
    <t>Numeric / (Link to) File, preferably with machine-readable (meta)data</t>
  </si>
  <si>
    <t>Extension values mandatory if continuous monitoring of extension  (row 12)</t>
  </si>
  <si>
    <t>Was a load sensor used during loading?</t>
  </si>
  <si>
    <t>Was the load sensor calibrated?</t>
  </si>
  <si>
    <t>Ingot</t>
  </si>
  <si>
    <t>Ingot with 4" Diameter</t>
  </si>
  <si>
    <t>Aged</t>
  </si>
  <si>
    <t>Wt. %</t>
  </si>
  <si>
    <t>Unit</t>
  </si>
  <si>
    <t>ppm</t>
  </si>
  <si>
    <t>Symbol</t>
  </si>
  <si>
    <t>Master melt</t>
  </si>
  <si>
    <t>Measured Value</t>
  </si>
  <si>
    <t>Perkin Elmer 5000 Atomic Absorption</t>
  </si>
  <si>
    <t>Method</t>
  </si>
  <si>
    <t>Equipment</t>
  </si>
  <si>
    <t>Fluxed Oxygen Fusion Analysis</t>
  </si>
  <si>
    <t>Inert Gas Fusion Analysis</t>
  </si>
  <si>
    <t>ICP (AES) Analysis</t>
  </si>
  <si>
    <t>Atomic Absorption</t>
  </si>
  <si>
    <t>Lego CS 444 LS</t>
  </si>
  <si>
    <t>Lego TC 436</t>
  </si>
  <si>
    <t>Perkin Elmer Optima 3000™</t>
  </si>
  <si>
    <t>Perkin Elmer 5000</t>
  </si>
  <si>
    <t>°</t>
  </si>
  <si>
    <t>Specimen Nr.</t>
  </si>
  <si>
    <r>
      <t>R</t>
    </r>
    <r>
      <rPr>
        <b/>
        <vertAlign val="subscript"/>
        <sz val="10"/>
        <rFont val="Arial"/>
        <family val="2"/>
      </rPr>
      <t>p0,2</t>
    </r>
  </si>
  <si>
    <t>Laue Crystal Verification</t>
  </si>
  <si>
    <t>Step-width</t>
  </si>
  <si>
    <t>Comment(s)</t>
  </si>
  <si>
    <t>During the application of the test load</t>
  </si>
  <si>
    <t>2 - 20 kN and 1 - 10 kN (class 1 for both)</t>
  </si>
  <si>
    <t>Via furnace</t>
  </si>
  <si>
    <t>0,51 mm</t>
  </si>
  <si>
    <t>ASTM E220-19</t>
  </si>
  <si>
    <t>300 - 1200 °C</t>
  </si>
  <si>
    <t>12 Months</t>
  </si>
  <si>
    <t>Electrical simulation and measurement</t>
  </si>
  <si>
    <t>MTS 632.53F-31</t>
  </si>
  <si>
    <t>19.03</t>
  </si>
  <si>
    <t>20 %  / 5 mm</t>
  </si>
  <si>
    <t>-10 % / -2,5 mm</t>
  </si>
  <si>
    <r>
      <t>Description of the data processing and analysis procedures used to obtain specific test results, e.g. percentage elastic extension, e</t>
    </r>
    <r>
      <rPr>
        <vertAlign val="subscript"/>
        <sz val="12"/>
        <rFont val="Calibri"/>
        <family val="2"/>
        <scheme val="minor"/>
      </rPr>
      <t>e</t>
    </r>
  </si>
  <si>
    <t xml:space="preserve">Vh 5205	</t>
  </si>
  <si>
    <t>See description</t>
  </si>
  <si>
    <t>"Yes" is mandatory if row 104 = Yes</t>
  </si>
  <si>
    <t>Zug 07</t>
  </si>
  <si>
    <t>24 Months</t>
  </si>
  <si>
    <t>12 months</t>
  </si>
  <si>
    <t>0 kN to 20 kN</t>
  </si>
  <si>
    <t>Split Tube Furnace with two-zones</t>
  </si>
  <si>
    <t>Vh5205_C-85</t>
  </si>
  <si>
    <t>Vh5205_C-89</t>
  </si>
  <si>
    <t>Vh5205_C-91</t>
  </si>
  <si>
    <t>Vh5205_C-94</t>
  </si>
  <si>
    <t>Vh5205_C-95</t>
  </si>
  <si>
    <t>Vh5205_C-97</t>
  </si>
  <si>
    <t>Vh5205_C-81</t>
  </si>
  <si>
    <t>Vh5205_C-98</t>
  </si>
  <si>
    <t>Vh5205_C-82</t>
  </si>
  <si>
    <t>Vh5205_C-99</t>
  </si>
  <si>
    <t>Vh5205_C-78</t>
  </si>
  <si>
    <t>Vh5205_C-80</t>
  </si>
  <si>
    <t>Test piece break</t>
  </si>
  <si>
    <t>Time limit</t>
  </si>
  <si>
    <t>&gt;  1000 h</t>
  </si>
  <si>
    <t>Inside the gauge length</t>
  </si>
  <si>
    <t>DIN EN ISO 204:2019-4</t>
  </si>
  <si>
    <t>Not applicable</t>
  </si>
  <si>
    <t xml:space="preserve">+ 0,42 K to  - 1,17 K
T-values were corrected accordingly.
</t>
  </si>
  <si>
    <t>Internal</t>
  </si>
  <si>
    <t>Internal / External</t>
  </si>
  <si>
    <t>52-PM102-0400
52-PM102-0401
52-PM102-0402</t>
  </si>
  <si>
    <t>52-PM102-0412
52-PM102-0413
52-PM102-0414</t>
  </si>
  <si>
    <t>09.05.2023 (52-PM102-0413, 52-PM102-0414)
12.05.2023 (52-PM102-0412)</t>
  </si>
  <si>
    <t>+ 0,2 K to - 0,3 K</t>
  </si>
  <si>
    <t>+ 0,3 K to - 0,6 K</t>
  </si>
  <si>
    <t>Centered</t>
  </si>
  <si>
    <t xml:space="preserve">Only required during loading if the test was performed constant force (row 10) </t>
  </si>
  <si>
    <t>Entry is mandatory. "Yes" is not mandatory.
Applicable dependent on extensometer system. Mandatory in case of two-sided extensometer systems (row 147)</t>
  </si>
  <si>
    <t>Alpha</t>
  </si>
  <si>
    <t>The axis of the cast (as-tested material), the creep test piece, and the load axis match.</t>
  </si>
  <si>
    <t>Wire with 2-hole ceramic beads</t>
  </si>
  <si>
    <t>Documentation available in the laboratory</t>
  </si>
  <si>
    <t>Attached</t>
  </si>
  <si>
    <t>One-sided</t>
  </si>
  <si>
    <t>Axial action</t>
  </si>
  <si>
    <t>30 % (7.5 mm); +5/-2,5 mm</t>
  </si>
  <si>
    <t>Data series for each test piece in the corresponding LIS file</t>
  </si>
  <si>
    <t>Data series from each sensor for each test piece in the corresponsing LIS file</t>
  </si>
  <si>
    <t>5 to 300</t>
  </si>
  <si>
    <t>Creep data acquisition intervall</t>
  </si>
  <si>
    <t>Time*</t>
  </si>
  <si>
    <t>Force**</t>
  </si>
  <si>
    <t>Extension***</t>
  </si>
  <si>
    <t>During the whole test</t>
  </si>
  <si>
    <t>Depending on force signal (e.g., with rapid changes in the force signal)</t>
  </si>
  <si>
    <r>
      <rPr>
        <b/>
        <sz val="18"/>
        <color theme="1"/>
        <rFont val="Calibri"/>
        <family val="2"/>
        <scheme val="minor"/>
      </rPr>
      <t>DOI:</t>
    </r>
    <r>
      <rPr>
        <sz val="18"/>
        <color theme="1"/>
        <rFont val="Calibri"/>
        <family val="2"/>
        <scheme val="minor"/>
      </rPr>
      <t xml:space="preserve"> 10.5281/zenodo.11668375</t>
    </r>
  </si>
  <si>
    <r>
      <t xml:space="preserve">The Requirement Profile (column K) is for the highest quality class of reference datasets which shall enable the following usages: 
   1. Checking own creep test results on nominally similar material
   2. Verification of own testing set-up (e.g. by testing same/similar material)
   3. Using the data as input data for simulations of creep behavior for design and alloy development
The requirement profile given in column K refers to the highest quality level of reference creep data,  taken from calibrated instruments. Other quality classes or typical research datasets require less documentation.
</t>
    </r>
    <r>
      <rPr>
        <i/>
        <sz val="12"/>
        <rFont val="Calibri"/>
        <family val="2"/>
        <scheme val="minor"/>
      </rPr>
      <t>Our current definition for reference data of materials is available here: https://doi.org/10.5281/zenodo.11667673</t>
    </r>
  </si>
  <si>
    <t>REQUIREMENT</t>
  </si>
  <si>
    <t>Applicable if test performed according to a test standard (row 6)</t>
  </si>
  <si>
    <r>
      <t>R</t>
    </r>
    <r>
      <rPr>
        <vertAlign val="subscript"/>
        <sz val="12"/>
        <color theme="1"/>
        <rFont val="Calibri"/>
        <family val="2"/>
        <scheme val="minor"/>
      </rPr>
      <t>o</t>
    </r>
  </si>
  <si>
    <t>Link to a TTT-curve</t>
  </si>
  <si>
    <t>Single crystal / Polycrystal</t>
  </si>
  <si>
    <t>Description of the as-tested material (geometry and dimensions) - The test piece is manufactured from the tested material.</t>
  </si>
  <si>
    <t>Annealed / Aged/Hardened</t>
  </si>
  <si>
    <t>Applies if row 34 = Heat treated</t>
  </si>
  <si>
    <t>Vacuum / Inert gas</t>
  </si>
  <si>
    <t>Applies if row 41 = Aged/Hardened</t>
  </si>
  <si>
    <t>Link to  protocol file</t>
  </si>
  <si>
    <t>Link to image</t>
  </si>
  <si>
    <t>Link to protocol (for instance table with grain sizes for each blank)</t>
  </si>
  <si>
    <t>Description of procedure and links to images and raw data, or, reference to paper and section</t>
  </si>
  <si>
    <t>Here, rows 54 to 61 are repeated for condition after the test</t>
  </si>
  <si>
    <t>Link(s) to image(s) (can be from different characterization techniques)</t>
  </si>
  <si>
    <t>Link to analysis results in form of table</t>
  </si>
  <si>
    <t>Link to analysis protocol(s)</t>
  </si>
  <si>
    <t>Positioning (Laue, precision)
- Description whether  coordinate systems of as-tested material and test piece coincide, and of the alignment in the test machine</t>
  </si>
  <si>
    <r>
      <t>Lever arm / E</t>
    </r>
    <r>
      <rPr>
        <sz val="12"/>
        <rFont val="Calibri"/>
        <family val="2"/>
        <scheme val="minor"/>
      </rPr>
      <t>lectromechanical drive</t>
    </r>
  </si>
  <si>
    <t>Entry is mandatory
If ASTM E139 (row 7): "Yes" is mandatory.
If ISO 204 (row 7): "Yes" is not mandatory. However ISO 204 states that  "The test force shall be applied along the test axis in such a manner to minimize bending and torsion of the test piece."</t>
  </si>
  <si>
    <t>Mandatory if verification was not performed according to ASTM E1012 (row 88)</t>
  </si>
  <si>
    <t>Mandatory if verification acording to ASTM E1012 was performed (row 88)</t>
  </si>
  <si>
    <t>"Yes" is mandatory if (i) lever-arm machine (row 85) or (ii) uncalibrated load sensor were used (row 105)</t>
  </si>
  <si>
    <t>Link to digital certificate that was valid for the test/the test campaigne</t>
  </si>
  <si>
    <t>"Yes" is mandatory in case of a lever-arm testing machine (row 85)
ASTM E139 and ISO 204/ISO 7500-2 set different requirements</t>
  </si>
  <si>
    <t>Lire with 2-hole ceramic beads</t>
  </si>
  <si>
    <r>
      <t>Yes / No</t>
    </r>
    <r>
      <rPr>
        <sz val="12"/>
        <color rgb="FF0070C0"/>
        <rFont val="Calibri"/>
        <family val="2"/>
        <scheme val="minor"/>
      </rPr>
      <t xml:space="preserve"> </t>
    </r>
  </si>
  <si>
    <t>Comparison method / Fix-point method</t>
  </si>
  <si>
    <r>
      <t>Welded / Attached / P</t>
    </r>
    <r>
      <rPr>
        <sz val="12"/>
        <rFont val="Calibri"/>
        <family val="2"/>
        <scheme val="minor"/>
      </rPr>
      <t>ressed / Glued / Other (specify)</t>
    </r>
  </si>
  <si>
    <t>Inside / Outside</t>
  </si>
  <si>
    <r>
      <t>%</t>
    </r>
    <r>
      <rPr>
        <sz val="12"/>
        <color rgb="FF00B050"/>
        <rFont val="Calibri"/>
        <family val="2"/>
        <scheme val="minor"/>
      </rPr>
      <t xml:space="preserve"> </t>
    </r>
    <r>
      <rPr>
        <sz val="12"/>
        <color theme="1"/>
        <rFont val="Calibri"/>
        <family val="2"/>
        <scheme val="minor"/>
      </rPr>
      <t xml:space="preserve"> / mm</t>
    </r>
  </si>
  <si>
    <t>Additional fields for non-contacting strain measurement methods will be provided in upcoming versions</t>
  </si>
  <si>
    <t>Description of primary and processed data series - Primary data is data that is directly acquired by sensors or measuring instruments during or after a test. Processed data is obtained as a result of using procedures (equations, algorithms, methods, unit conversions)  to transform data</t>
  </si>
  <si>
    <t>Description of primary data series processing (incl. averaging, smoothing)</t>
  </si>
  <si>
    <t>If round cross section (test piece, row 78)</t>
  </si>
  <si>
    <r>
      <t>L</t>
    </r>
    <r>
      <rPr>
        <vertAlign val="subscript"/>
        <sz val="12"/>
        <color theme="1"/>
        <rFont val="Calibri"/>
        <family val="2"/>
        <scheme val="minor"/>
      </rPr>
      <t>o</t>
    </r>
  </si>
  <si>
    <r>
      <t>L</t>
    </r>
    <r>
      <rPr>
        <vertAlign val="subscript"/>
        <sz val="12"/>
        <color theme="1"/>
        <rFont val="Calibri"/>
        <family val="2"/>
        <scheme val="minor"/>
      </rPr>
      <t>c</t>
    </r>
  </si>
  <si>
    <r>
      <t>L</t>
    </r>
    <r>
      <rPr>
        <sz val="8"/>
        <color theme="1"/>
        <rFont val="Calibri"/>
        <family val="2"/>
        <scheme val="minor"/>
      </rPr>
      <t>e</t>
    </r>
  </si>
  <si>
    <t>If ISO 204 (row 7)</t>
  </si>
  <si>
    <t>If round cross section (test piece, row 78) and Lr = Lo (row 174)</t>
  </si>
  <si>
    <t>If ISO 204 (row 7) and Lr = Lo (row 178)</t>
  </si>
  <si>
    <r>
      <t>Δ</t>
    </r>
    <r>
      <rPr>
        <sz val="8.4"/>
        <color theme="1"/>
        <rFont val="Calibri"/>
        <family val="2"/>
      </rPr>
      <t>L</t>
    </r>
    <r>
      <rPr>
        <sz val="8"/>
        <color theme="1"/>
        <rFont val="Calibri"/>
        <family val="2"/>
      </rPr>
      <t>et</t>
    </r>
  </si>
  <si>
    <r>
      <t>ΔL</t>
    </r>
    <r>
      <rPr>
        <vertAlign val="subscript"/>
        <sz val="12"/>
        <color theme="1"/>
        <rFont val="Calibri"/>
        <family val="2"/>
      </rPr>
      <t>ot</t>
    </r>
  </si>
  <si>
    <r>
      <t>t</t>
    </r>
    <r>
      <rPr>
        <vertAlign val="subscript"/>
        <sz val="12"/>
        <color theme="1"/>
        <rFont val="Calibri"/>
        <family val="2"/>
        <scheme val="minor"/>
      </rPr>
      <t>u</t>
    </r>
  </si>
  <si>
    <t>Mandatory if test performed until test piece break (row 13)</t>
  </si>
  <si>
    <r>
      <t>e</t>
    </r>
    <r>
      <rPr>
        <sz val="8"/>
        <color theme="1"/>
        <rFont val="Calibri"/>
        <family val="2"/>
        <scheme val="minor"/>
      </rPr>
      <t>t</t>
    </r>
  </si>
  <si>
    <r>
      <t>e</t>
    </r>
    <r>
      <rPr>
        <sz val="8"/>
        <color theme="1"/>
        <rFont val="Calibri"/>
        <family val="2"/>
        <scheme val="minor"/>
      </rPr>
      <t>ti</t>
    </r>
  </si>
  <si>
    <r>
      <t>e</t>
    </r>
    <r>
      <rPr>
        <vertAlign val="subscript"/>
        <sz val="12"/>
        <color theme="1"/>
        <rFont val="Calibri"/>
        <family val="2"/>
        <scheme val="minor"/>
      </rPr>
      <t>e</t>
    </r>
  </si>
  <si>
    <r>
      <t>e</t>
    </r>
    <r>
      <rPr>
        <u/>
        <sz val="8"/>
        <color theme="1"/>
        <rFont val="Calibri"/>
        <family val="2"/>
        <scheme val="minor"/>
      </rPr>
      <t>i</t>
    </r>
  </si>
  <si>
    <r>
      <t>e</t>
    </r>
    <r>
      <rPr>
        <u/>
        <sz val="8"/>
        <color theme="1"/>
        <rFont val="Calibri"/>
        <family val="2"/>
        <scheme val="minor"/>
      </rPr>
      <t>p</t>
    </r>
  </si>
  <si>
    <r>
      <t>e</t>
    </r>
    <r>
      <rPr>
        <vertAlign val="subscript"/>
        <sz val="12"/>
        <color theme="1"/>
        <rFont val="Calibri"/>
        <family val="2"/>
        <scheme val="minor"/>
      </rPr>
      <t>f</t>
    </r>
  </si>
  <si>
    <t>*** Extension caused by the Preload is not included the data</t>
  </si>
  <si>
    <t>* The time at beginning of the loading was set to zero for better representation of the data. It does not correspond with the absolute value of the time data record during the test.</t>
  </si>
  <si>
    <t>Yes
The load cell was checked with calibrated weights. Error limit: ± 1 %</t>
  </si>
  <si>
    <t>Percentage reduction of area after creep fracture</t>
  </si>
  <si>
    <t>Single Crystal</t>
  </si>
  <si>
    <t>Specimen according to DIN EN ISO 204:2019-4</t>
  </si>
  <si>
    <t>Test temperature</t>
  </si>
  <si>
    <t>Cast No.</t>
  </si>
  <si>
    <t>No previous experiments</t>
  </si>
  <si>
    <t xml:space="preserve">Specimen No. </t>
  </si>
  <si>
    <t>Lever arm, Leverage ratio 1:20.4</t>
  </si>
  <si>
    <t>0,2 kN (20.4 kg)</t>
  </si>
  <si>
    <t>Single Crystal Investment Casting from a Vacuum Induction Refined Ingot and subsequent Heat Treatment (annealed and aged).</t>
  </si>
  <si>
    <t>The absence of grain boundaries was verified by visual inspection of the investment casts surface after electrolytical etching.</t>
  </si>
  <si>
    <t>Not applicable since verification was performed according to ASTM E1012</t>
  </si>
  <si>
    <t>To convert the primary data series into the processed data series a validated excel template (lab own's development) was used. The data were neither averaged nor smoothed.</t>
  </si>
  <si>
    <t>Mandatory only if the test was not run until test piece break (row 13)</t>
  </si>
  <si>
    <t>With or without extension mearurement</t>
  </si>
  <si>
    <t>Yes. Verification was performed according to ASTM E1012 on 18.07.2011.</t>
  </si>
  <si>
    <t>The data series for each test piece are available in the corresponding LIS files</t>
  </si>
  <si>
    <t>Test segment</t>
  </si>
  <si>
    <t>After reaching the full applied test load (creep) and until and after test piece break</t>
  </si>
  <si>
    <t>Rz</t>
  </si>
  <si>
    <t>Backfill with argon to approx. 400 micron</t>
  </si>
  <si>
    <t>Gas Furnace Cooling</t>
  </si>
  <si>
    <t>°F</t>
  </si>
  <si>
    <t>min</t>
  </si>
  <si>
    <t>Duration</t>
  </si>
  <si>
    <t>Step description</t>
  </si>
  <si>
    <t>Heat to</t>
  </si>
  <si>
    <t>Hold at</t>
  </si>
  <si>
    <t>±</t>
  </si>
  <si>
    <t>Temperature</t>
  </si>
  <si>
    <t>1. Annealing</t>
  </si>
  <si>
    <t>2. Ageing</t>
  </si>
  <si>
    <t>Heat in vacuum to</t>
  </si>
  <si>
    <t>Hold at (electric furnace)</t>
  </si>
  <si>
    <t>Air cooling</t>
  </si>
  <si>
    <t>Dwell time</t>
  </si>
  <si>
    <t>Data according to protocol (PCC Airfoils, INC. 1996)</t>
  </si>
  <si>
    <t>Data from inquiry (1997)</t>
  </si>
  <si>
    <t>Hold at (gas recirculation)</t>
  </si>
  <si>
    <t>See worksheet "Heat_treatment"</t>
  </si>
  <si>
    <t>The angle alpha indicates the deviation of the [001]-direction from the symmetry axis of the respective cast (as-tested material). Values in worksheet "Single_crystal_orientation"</t>
  </si>
  <si>
    <t>Surface roughness values, Rz [µm], available for each test piece.
Measurement protocols are available in the laboratory.
Finishing was carried out using cylindrical grinding. Values in worksheet "Roughness"</t>
  </si>
  <si>
    <t>*</t>
  </si>
  <si>
    <t>* Information common to all tests</t>
  </si>
  <si>
    <t>** Error limit: ± 1 %. Preload of 0,2 kN (20.4 kg) is not included in the data</t>
  </si>
  <si>
    <t>See worksheet "Rp0.2"</t>
  </si>
  <si>
    <t>See worksheets "Data-acquisition" and "Data-acquisition-creep"</t>
  </si>
  <si>
    <t>See worksheet "Primary-processed-data-series"</t>
  </si>
  <si>
    <t>See worksheet "Data-processing"</t>
  </si>
  <si>
    <t>Data series for each test piece in worksheet "Loading". No overloads.</t>
  </si>
  <si>
    <t>This worksheet corresponds to row 48 of the data schema (worksheet "Data-Schema-Creep_v1.1")</t>
  </si>
  <si>
    <t>This worksheet corresponds to row 49 of the data schema (worksheet "Data-Schema-Creep_v1.1")</t>
  </si>
  <si>
    <t>This worksheet corresponds to row 72 of the data schema (worksheet "Data-Schema-Creep_v1.1")</t>
  </si>
  <si>
    <t>This worksheet corresponds to row 193 of the data schema (worksheet "Data-Schema-Creep_v1.1")</t>
  </si>
  <si>
    <t>This worksheet corresponds to row 94 of the data schema (worksheet "Data-Schema-Creep_v1.1")</t>
  </si>
  <si>
    <t>Depending on the expected test duration. See worksheet "Data-acquisition-creep"</t>
  </si>
  <si>
    <t>This worksheet corresponds to row 164 of the data schema (worksheet "Data-Schema-Creep_v1.1")</t>
  </si>
  <si>
    <t>This worksheet corresponds to row 166 of the data schema (worksheet "Data-Schema-Creep_v1.1")</t>
  </si>
  <si>
    <t>This worksheet corresponds to rows 45 and 46 of the data schema (worksheet "Data-Schema-Creep_v1.1")</t>
  </si>
  <si>
    <t>This worksheet corresponds to row 66 of the data schema (worksheet "Data-Schema-Creep_v1.1")</t>
  </si>
  <si>
    <t>This worksheet corresponds to row 83 of the data schema (worksheet "Data-Schema-Creep_v1.1")</t>
  </si>
  <si>
    <t>Related to the previous displacement-triggered record. If a displacement change of 0.01 mm occurs, the time is reset to zero. This optimizes data acquisition, e.g., during tertiary creep.</t>
  </si>
  <si>
    <r>
      <rPr>
        <b/>
        <sz val="12"/>
        <color theme="1"/>
        <rFont val="Calibri"/>
        <family val="2"/>
        <scheme val="minor"/>
      </rPr>
      <t>1. Primary data series (acquired data):</t>
    </r>
    <r>
      <rPr>
        <sz val="12"/>
        <color theme="1"/>
        <rFont val="Calibri"/>
        <family val="2"/>
        <scheme val="minor"/>
      </rPr>
      <t xml:space="preserve">
Time (s), displacement (mm), temperature (° C) values for each sensor (including heating-up and cooling-down phases), and  force (kN, only during test load application).</t>
    </r>
  </si>
  <si>
    <r>
      <rPr>
        <b/>
        <sz val="12"/>
        <color theme="1"/>
        <rFont val="Calibri"/>
        <family val="2"/>
        <scheme val="minor"/>
      </rPr>
      <t>2. Processed data series:</t>
    </r>
    <r>
      <rPr>
        <sz val="12"/>
        <color theme="1"/>
        <rFont val="Calibri"/>
        <family val="2"/>
        <scheme val="minor"/>
      </rPr>
      <t xml:space="preserve">
- We provide processed data regarding the loading phase (see worksheet "Loading") and  the creep deformation (see the corresponding LIS file for each test piece).
- The data series from the heating-up and cooling down phases are not provided. Instead, relevant metadata values (rows 186 and 187) are provided.
- For both loading and creep data the displacement (extension) values (mm) are converted to percentage extension values (%) using the appropiate reference length (determined at room temperature after applying the extensometer according to pre-force).</t>
    </r>
  </si>
  <si>
    <r>
      <rPr>
        <b/>
        <sz val="12"/>
        <color theme="1"/>
        <rFont val="Calibri"/>
        <family val="2"/>
        <scheme val="minor"/>
      </rPr>
      <t>2.1 Loading data</t>
    </r>
    <r>
      <rPr>
        <sz val="12"/>
        <color theme="1"/>
        <rFont val="Calibri"/>
        <family val="2"/>
        <scheme val="minor"/>
      </rPr>
      <t xml:space="preserve">
- The time series values (s) start from t = 0 for better representation of the data.
- The force data values do not include the preload.</t>
    </r>
  </si>
  <si>
    <r>
      <rPr>
        <b/>
        <sz val="12"/>
        <color theme="1"/>
        <rFont val="Calibri"/>
        <family val="2"/>
        <scheme val="minor"/>
      </rPr>
      <t>2.2 Creep data</t>
    </r>
    <r>
      <rPr>
        <sz val="12"/>
        <color theme="1"/>
        <rFont val="Calibri"/>
        <family val="2"/>
        <scheme val="minor"/>
      </rPr>
      <t xml:space="preserve">
- This is the data after the end of the loading, which corresponds to the creep deformation. 
- The time series values (s) are converted to h. The time t = 0 (point b in Figure NA.1 of DIN EN ISO 204:2019-4) corresponds to the time at which the full force of the initial stress is applied to the test piece (start of creep deformation), as specified in ISO 204.
- The percentage extension values consider an estimation of the extension caused by the preload.
- The temperature values (° C) correspond to the corrected temperature values, which take into account the deviations determined during calibration.</t>
    </r>
  </si>
  <si>
    <r>
      <rPr>
        <b/>
        <sz val="12"/>
        <color theme="1"/>
        <rFont val="Calibri"/>
        <family val="2"/>
        <scheme val="minor"/>
      </rPr>
      <t>Stresses</t>
    </r>
    <r>
      <rPr>
        <sz val="12"/>
        <color theme="1"/>
        <rFont val="Calibri"/>
        <family val="2"/>
        <scheme val="minor"/>
      </rPr>
      <t xml:space="preserve"> are determined using the min. test piece diameter at room temperature (row 170 in data schema).
</t>
    </r>
  </si>
  <si>
    <r>
      <t xml:space="preserve">The </t>
    </r>
    <r>
      <rPr>
        <b/>
        <sz val="12"/>
        <color theme="1"/>
        <rFont val="Calibri"/>
        <family val="2"/>
        <scheme val="minor"/>
      </rPr>
      <t>elongation values</t>
    </r>
    <r>
      <rPr>
        <sz val="12"/>
        <color theme="1"/>
        <rFont val="Calibri"/>
        <family val="2"/>
        <scheme val="minor"/>
      </rPr>
      <t>, rows 201 to 203 in data schema, were determined as specified in DIN EN ISO 204:2019-4 (see equations 7 and 8 in DIN EN ISO 204:2019-4).</t>
    </r>
  </si>
  <si>
    <r>
      <t xml:space="preserve">The </t>
    </r>
    <r>
      <rPr>
        <b/>
        <sz val="12"/>
        <color theme="1"/>
        <rFont val="Calibri"/>
        <family val="2"/>
        <scheme val="minor"/>
      </rPr>
      <t>extension values</t>
    </r>
    <r>
      <rPr>
        <sz val="12"/>
        <color theme="1"/>
        <rFont val="Calibri"/>
        <family val="2"/>
        <scheme val="minor"/>
      </rPr>
      <t>, rows 205 to 210 in data schema, were determined as specified in DIN EN ISO 204:2019-4 (see Figure NA.1, section 8.4.2, and equations 3, 4, and 5 in DIN EN ISO 204:2019-4). As described in the testing standard, we differentiate between the parameters obtained during the loading (Percentage elastic extension, e</t>
    </r>
    <r>
      <rPr>
        <vertAlign val="subscript"/>
        <sz val="12"/>
        <color theme="1"/>
        <rFont val="Calibri"/>
        <family val="2"/>
        <scheme val="minor"/>
      </rPr>
      <t>e</t>
    </r>
    <r>
      <rPr>
        <sz val="12"/>
        <color theme="1"/>
        <rFont val="Calibri"/>
        <family val="2"/>
        <scheme val="minor"/>
      </rPr>
      <t>, Percentage initial total extension, e</t>
    </r>
    <r>
      <rPr>
        <vertAlign val="subscript"/>
        <sz val="12"/>
        <color theme="1"/>
        <rFont val="Calibri"/>
        <family val="2"/>
        <scheme val="minor"/>
      </rPr>
      <t>ti</t>
    </r>
    <r>
      <rPr>
        <sz val="12"/>
        <color theme="1"/>
        <rFont val="Calibri"/>
        <family val="2"/>
        <scheme val="minor"/>
      </rPr>
      <t>, Percentage initial plastic extension, e</t>
    </r>
    <r>
      <rPr>
        <vertAlign val="subscript"/>
        <sz val="12"/>
        <color theme="1"/>
        <rFont val="Calibri"/>
        <family val="2"/>
        <scheme val="minor"/>
      </rPr>
      <t>i</t>
    </r>
    <r>
      <rPr>
        <sz val="12"/>
        <color theme="1"/>
        <rFont val="Calibri"/>
        <family val="2"/>
        <scheme val="minor"/>
      </rPr>
      <t>) and the creep deformation (Percentage total extension, e</t>
    </r>
    <r>
      <rPr>
        <vertAlign val="subscript"/>
        <sz val="12"/>
        <color theme="1"/>
        <rFont val="Calibri"/>
        <family val="2"/>
        <scheme val="minor"/>
      </rPr>
      <t>t</t>
    </r>
    <r>
      <rPr>
        <sz val="12"/>
        <color theme="1"/>
        <rFont val="Calibri"/>
        <family val="2"/>
        <scheme val="minor"/>
      </rPr>
      <t>, Percentage plastic extension, e</t>
    </r>
    <r>
      <rPr>
        <vertAlign val="subscript"/>
        <sz val="12"/>
        <color theme="1"/>
        <rFont val="Calibri"/>
        <family val="2"/>
        <scheme val="minor"/>
      </rPr>
      <t>p</t>
    </r>
    <r>
      <rPr>
        <sz val="12"/>
        <color theme="1"/>
        <rFont val="Calibri"/>
        <family val="2"/>
        <scheme val="minor"/>
      </rPr>
      <t>, and Percentage creep extension, e</t>
    </r>
    <r>
      <rPr>
        <vertAlign val="subscript"/>
        <sz val="12"/>
        <color theme="1"/>
        <rFont val="Calibri"/>
        <family val="2"/>
        <scheme val="minor"/>
      </rPr>
      <t>f</t>
    </r>
    <r>
      <rPr>
        <sz val="12"/>
        <color theme="1"/>
        <rFont val="Calibri"/>
        <family val="2"/>
        <scheme val="minor"/>
      </rPr>
      <t>) phases. To determine the extension values during the loading phase (e</t>
    </r>
    <r>
      <rPr>
        <vertAlign val="subscript"/>
        <sz val="12"/>
        <color theme="1"/>
        <rFont val="Calibri"/>
        <family val="2"/>
        <scheme val="minor"/>
      </rPr>
      <t>e</t>
    </r>
    <r>
      <rPr>
        <sz val="12"/>
        <color theme="1"/>
        <rFont val="Calibri"/>
        <family val="2"/>
        <scheme val="minor"/>
      </rPr>
      <t>, e</t>
    </r>
    <r>
      <rPr>
        <vertAlign val="subscript"/>
        <sz val="12"/>
        <color theme="1"/>
        <rFont val="Calibri"/>
        <family val="2"/>
        <scheme val="minor"/>
      </rPr>
      <t>ti</t>
    </r>
    <r>
      <rPr>
        <sz val="12"/>
        <color theme="1"/>
        <rFont val="Calibri"/>
        <family val="2"/>
        <scheme val="minor"/>
      </rPr>
      <t>, e</t>
    </r>
    <r>
      <rPr>
        <vertAlign val="subscript"/>
        <sz val="12"/>
        <color theme="1"/>
        <rFont val="Calibri"/>
        <family val="2"/>
        <scheme val="minor"/>
      </rPr>
      <t>i</t>
    </r>
    <r>
      <rPr>
        <sz val="12"/>
        <color theme="1"/>
        <rFont val="Calibri"/>
        <family val="2"/>
        <scheme val="minor"/>
      </rPr>
      <t>) a linear fitting for the stress-extension data values in the elastic region was performed.  All reported extension values include a correction due to preload. This correction was done using the slope of the fitted line in the elastic region.</t>
    </r>
  </si>
  <si>
    <t>DATA SCHEMA FOR CREEP DATA OF NI-BASED SUPERALLOYS</t>
  </si>
  <si>
    <t>See worksheet "Ch.-Comp._nominal"</t>
  </si>
  <si>
    <t>See worksheet "Ch.-Comp._measured"</t>
  </si>
  <si>
    <t>See file "Microstructure-before-testing.pdf"</t>
  </si>
  <si>
    <t>CATEGORIZATION</t>
  </si>
  <si>
    <t>Uninterrupted creep tests with continuous monitoring of extension</t>
  </si>
  <si>
    <t>Test info--&gt;Test job details--&gt;</t>
  </si>
  <si>
    <t>Test info--&gt;Test parameters--&gt;</t>
  </si>
  <si>
    <t>Test info--&gt;Related research outcome--&gt;</t>
  </si>
  <si>
    <t>Material related--&gt;History and condition of the material--&gt;</t>
  </si>
  <si>
    <t>Material related--&gt;History and condition of the material--&gt;As-manufactured material--&gt;</t>
  </si>
  <si>
    <t>Material related--&gt;History and condition of the material--&gt;As-tested material--&gt;</t>
  </si>
  <si>
    <t>Material related--&gt;History and condition of the material--&gt;Heat treatment--&gt;</t>
  </si>
  <si>
    <t>Material related--&gt;History and condition of the material--&gt;Chemical composition--&gt;</t>
  </si>
  <si>
    <t>Material related--&gt;History and condition of the material--&gt;Microstructure--&gt;</t>
  </si>
  <si>
    <t>Material related--&gt;History and condition of the material--&gt;Results from NDT--&gt;</t>
  </si>
  <si>
    <t>Material related--&gt;History and condition of the material--&gt;Results from other mech. tests--&gt;</t>
  </si>
  <si>
    <t>Material related--&gt;Test piece--&gt;</t>
  </si>
  <si>
    <t>Measuring and test equipment--&gt;Test machine--&gt;</t>
  </si>
  <si>
    <t>Measuring and test equipment--&gt;Test machine--&gt;Data acquisition--&gt;</t>
  </si>
  <si>
    <t>Measuring and test equipment--&gt;Test force--&gt;Loading system--&gt;</t>
  </si>
  <si>
    <t>Measuring and test equipment--&gt;Test force--&gt;Load sensor--&gt;</t>
  </si>
  <si>
    <t>Measuring and test equipment--&gt;Test force--&gt;Data acquisition--&gt;</t>
  </si>
  <si>
    <t>Measuring and test equipment--&gt;Laboratory conditions--&gt;</t>
  </si>
  <si>
    <t>Measuring and test equipment--&gt;Temperature-measuring system--&gt;</t>
  </si>
  <si>
    <t>Measuring and test equipment--&gt;Temperature-measuring system--&gt;Measuring instrument--&gt;</t>
  </si>
  <si>
    <t>Measuring and test equipment--&gt;Temperature-measuring system--&gt;Data acquisition--&gt;</t>
  </si>
  <si>
    <t>Measuring and test equipment--&gt;Extensometer system--&gt;--&gt;</t>
  </si>
  <si>
    <t>Measuring and test equipment--&gt;Extensometer system--&gt;Contacting extensometer--&gt;</t>
  </si>
  <si>
    <t>Measuring and test equipment--&gt;Extensometer system--&gt;Non-contacting extensometer--&gt;</t>
  </si>
  <si>
    <t>Data processing procedures--&gt;</t>
  </si>
  <si>
    <t>Test result--&gt;Values recorded at test start--&gt;</t>
  </si>
  <si>
    <t>Test result--&gt;Values recorded during test run--&gt;</t>
  </si>
  <si>
    <t>Test result--&gt;Values recorded after end of test --&gt;</t>
  </si>
  <si>
    <t>Test result--&gt;Elongation values--&gt;</t>
  </si>
  <si>
    <t>Test result--&gt;Extension values--&gt;</t>
  </si>
  <si>
    <t>See file "TestPieceCreepTests-TechnicalDrawing-FormA.pdf"
Specimen's dimensions correspond to "Form A", see table in file.</t>
  </si>
  <si>
    <t>Single Crystal Investment Cast
See image file "Test-piece-location.pdf"
For details see DOI: 10.7449/1980/Superalloys_1980_205_214, and DOI: 10.7449/1984/Superalloys_1984_167_176</t>
  </si>
  <si>
    <t>A Scorpio system (DOI: 10.1088/0957-0233/6/1/021) was used. The orientation was determined at the lower end (right side in file "Test-piece-location.pdf") of each cast.</t>
  </si>
  <si>
    <t>See file "Test-piece-location.pdf"</t>
  </si>
  <si>
    <t>Verification: the machine fulfills the requirements for test forces &gt;2 kN
Protocol of alignment is available in the laboratory.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</si>
</sst>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0.000"/>
    <numFmt numFmtId="167" formatCode="[$-409]d/m/yy\ h:mm\ AM/PM;@"/>
    <numFmt numFmtId="168" formatCode="0.0000"/>
  </numFmts>
  <fonts count="26" x14ac:knownFonts="1">
    <font>
      <sz val="12"/>
      <color theme="1"/>
      <name val="Calibri"/>
      <family val="2"/>
      <scheme val="minor"/>
    </font>
    <font>
      <b/>
      <sz val="12"/>
      <color theme="1"/>
      <name val="Calibri"/>
      <family val="2"/>
      <scheme val="minor"/>
    </font>
    <font>
      <sz val="12"/>
      <color rgb="FFFF0000"/>
      <name val="Calibri"/>
      <family val="2"/>
      <scheme val="minor"/>
    </font>
    <font>
      <sz val="12"/>
      <name val="Calibri"/>
      <family val="2"/>
      <scheme val="minor"/>
    </font>
    <font>
      <b/>
      <sz val="12"/>
      <name val="Calibri"/>
      <family val="2"/>
      <scheme val="minor"/>
    </font>
    <font>
      <vertAlign val="subscript"/>
      <sz val="12"/>
      <name val="Calibri"/>
      <family val="2"/>
      <scheme val="minor"/>
    </font>
    <font>
      <sz val="12"/>
      <color theme="1"/>
      <name val="Calibri"/>
      <family val="2"/>
    </font>
    <font>
      <sz val="8"/>
      <name val="Calibri"/>
      <family val="2"/>
      <scheme val="minor"/>
    </font>
    <font>
      <u/>
      <sz val="12"/>
      <color theme="10"/>
      <name val="Calibri"/>
      <family val="2"/>
      <scheme val="minor"/>
    </font>
    <font>
      <sz val="12"/>
      <color theme="5"/>
      <name val="Calibri"/>
      <family val="2"/>
      <scheme val="minor"/>
    </font>
    <font>
      <sz val="12"/>
      <color rgb="FF00B050"/>
      <name val="Calibri"/>
      <family val="2"/>
      <scheme val="minor"/>
    </font>
    <font>
      <sz val="12"/>
      <name val="Calibri"/>
      <family val="2"/>
    </font>
    <font>
      <sz val="12"/>
      <color theme="1"/>
      <name val="Calibri"/>
      <family val="2"/>
      <scheme val="minor"/>
    </font>
    <font>
      <b/>
      <sz val="18"/>
      <color theme="1"/>
      <name val="Calibri"/>
      <family val="2"/>
      <scheme val="minor"/>
    </font>
    <font>
      <i/>
      <sz val="12"/>
      <name val="Calibri"/>
      <family val="2"/>
      <scheme val="minor"/>
    </font>
    <font>
      <b/>
      <sz val="10"/>
      <name val="Arial"/>
      <family val="2"/>
    </font>
    <font>
      <b/>
      <vertAlign val="subscript"/>
      <sz val="10"/>
      <name val="Arial"/>
      <family val="2"/>
    </font>
    <font>
      <vertAlign val="subscript"/>
      <sz val="12"/>
      <color theme="1"/>
      <name val="Calibri"/>
      <family val="2"/>
      <scheme val="minor"/>
    </font>
    <font>
      <sz val="18"/>
      <color theme="1"/>
      <name val="Calibri"/>
      <family val="2"/>
      <scheme val="minor"/>
    </font>
    <font>
      <sz val="12"/>
      <color rgb="FF0070C0"/>
      <name val="Calibri"/>
      <family val="2"/>
      <scheme val="minor"/>
    </font>
    <font>
      <sz val="13"/>
      <color theme="1"/>
      <name val="Calibri"/>
      <family val="2"/>
    </font>
    <font>
      <sz val="8"/>
      <color theme="1"/>
      <name val="Calibri"/>
      <family val="2"/>
      <scheme val="minor"/>
    </font>
    <font>
      <sz val="8.4"/>
      <color theme="1"/>
      <name val="Calibri"/>
      <family val="2"/>
    </font>
    <font>
      <sz val="8"/>
      <color theme="1"/>
      <name val="Calibri"/>
      <family val="2"/>
    </font>
    <font>
      <vertAlign val="subscript"/>
      <sz val="12"/>
      <color theme="1"/>
      <name val="Calibri"/>
      <family val="2"/>
    </font>
    <font>
      <u/>
      <sz val="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CCCCFF"/>
        <bgColor indexed="64"/>
      </patternFill>
    </fill>
  </fills>
  <borders count="1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8" fillId="0" borderId="0" applyNumberFormat="0" applyFill="0" applyBorder="0" applyAlignment="0" applyProtection="0"/>
    <xf numFmtId="9" fontId="12" fillId="0" borderId="0" applyFont="0" applyFill="0" applyBorder="0" applyAlignment="0" applyProtection="0"/>
  </cellStyleXfs>
  <cellXfs count="228">
    <xf numFmtId="0" fontId="0" fillId="0" borderId="0" xfId="0"/>
    <xf numFmtId="0" fontId="0" fillId="0" borderId="0" xfId="0"/>
    <xf numFmtId="0" fontId="0" fillId="0" borderId="0" xfId="0" applyFill="1"/>
    <xf numFmtId="0" fontId="0" fillId="0" borderId="0" xfId="0" applyAlignment="1">
      <alignment vertical="center"/>
    </xf>
    <xf numFmtId="0" fontId="3" fillId="0" borderId="0" xfId="0" applyFont="1" applyAlignment="1">
      <alignment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3" borderId="8" xfId="0" applyFill="1" applyBorder="1" applyAlignment="1">
      <alignment vertical="center"/>
    </xf>
    <xf numFmtId="0" fontId="3" fillId="0" borderId="8" xfId="0" applyFont="1" applyBorder="1" applyAlignment="1">
      <alignment vertical="center"/>
    </xf>
    <xf numFmtId="0" fontId="3" fillId="0" borderId="0" xfId="0" applyFont="1" applyAlignment="1">
      <alignment horizontal="left" vertical="top" wrapText="1"/>
    </xf>
    <xf numFmtId="0" fontId="0" fillId="0" borderId="0" xfId="0" quotePrefix="1" applyAlignment="1">
      <alignment vertical="top" wrapText="1"/>
    </xf>
    <xf numFmtId="0" fontId="0" fillId="0" borderId="5" xfId="0" applyBorder="1" applyAlignment="1">
      <alignment vertical="top"/>
    </xf>
    <xf numFmtId="0" fontId="3" fillId="0" borderId="1" xfId="0" applyFont="1" applyBorder="1" applyAlignment="1">
      <alignment horizontal="left" vertical="top" wrapText="1"/>
    </xf>
    <xf numFmtId="0" fontId="0" fillId="0" borderId="10" xfId="0" applyBorder="1" applyAlignment="1">
      <alignment horizontal="left" vertical="top" wrapText="1"/>
    </xf>
    <xf numFmtId="9" fontId="0" fillId="0" borderId="0" xfId="2" applyFont="1" applyAlignment="1">
      <alignment vertical="center"/>
    </xf>
    <xf numFmtId="0" fontId="1" fillId="0" borderId="0" xfId="0" applyFont="1"/>
    <xf numFmtId="0" fontId="1" fillId="0" borderId="0" xfId="0" applyFont="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9" fillId="0" borderId="5" xfId="0" applyFont="1" applyBorder="1" applyAlignment="1">
      <alignment horizontal="left" vertical="top"/>
    </xf>
    <xf numFmtId="0" fontId="9" fillId="0" borderId="6" xfId="0" applyFont="1" applyBorder="1" applyAlignment="1">
      <alignment horizontal="left" vertical="top"/>
    </xf>
    <xf numFmtId="0" fontId="0" fillId="0" borderId="6" xfId="0" applyBorder="1" applyAlignment="1">
      <alignment horizontal="lef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6" fillId="0" borderId="10" xfId="0" applyFont="1" applyBorder="1" applyAlignment="1">
      <alignment horizontal="left" vertical="top"/>
    </xf>
    <xf numFmtId="0" fontId="11" fillId="0" borderId="10" xfId="0" applyFont="1" applyBorder="1" applyAlignment="1">
      <alignment horizontal="left" vertical="top"/>
    </xf>
    <xf numFmtId="0" fontId="0" fillId="0" borderId="10" xfId="0" applyBorder="1" applyAlignment="1">
      <alignment horizontal="left" vertical="top"/>
    </xf>
    <xf numFmtId="0" fontId="3" fillId="0" borderId="10" xfId="0" applyFont="1" applyBorder="1" applyAlignment="1">
      <alignment horizontal="left" vertical="top" wrapText="1"/>
    </xf>
    <xf numFmtId="0" fontId="3" fillId="0" borderId="10" xfId="0" applyFont="1" applyBorder="1" applyAlignment="1">
      <alignment horizontal="left" vertical="top"/>
    </xf>
    <xf numFmtId="0" fontId="2" fillId="0" borderId="10" xfId="0" applyFont="1" applyBorder="1" applyAlignment="1">
      <alignment horizontal="left" vertical="top"/>
    </xf>
    <xf numFmtId="0" fontId="2" fillId="0" borderId="10" xfId="0" applyFont="1" applyBorder="1" applyAlignment="1">
      <alignment horizontal="left" vertical="top" wrapText="1"/>
    </xf>
    <xf numFmtId="0" fontId="0" fillId="0" borderId="7" xfId="0" applyBorder="1" applyAlignment="1">
      <alignment horizontal="left" vertical="top"/>
    </xf>
    <xf numFmtId="0" fontId="1" fillId="0" borderId="8" xfId="0" applyFont="1" applyBorder="1" applyAlignment="1">
      <alignment horizontal="left" vertical="top"/>
    </xf>
    <xf numFmtId="0" fontId="1" fillId="0" borderId="8" xfId="0" applyFont="1" applyBorder="1" applyAlignment="1">
      <alignment horizontal="left" vertical="top" wrapText="1"/>
    </xf>
    <xf numFmtId="0" fontId="0" fillId="0" borderId="0" xfId="0" applyAlignment="1">
      <alignment horizontal="center"/>
    </xf>
    <xf numFmtId="0" fontId="0" fillId="0" borderId="0" xfId="0" applyAlignment="1">
      <alignment vertical="top" wrapText="1"/>
    </xf>
    <xf numFmtId="0" fontId="3" fillId="0" borderId="0" xfId="0" applyFont="1" applyAlignment="1">
      <alignment horizontal="center" vertical="center"/>
    </xf>
    <xf numFmtId="0" fontId="4" fillId="0" borderId="8" xfId="0" applyFont="1" applyBorder="1" applyAlignment="1">
      <alignment horizontal="left" vertical="top"/>
    </xf>
    <xf numFmtId="0" fontId="9" fillId="0" borderId="4" xfId="0" applyFont="1" applyBorder="1" applyAlignment="1">
      <alignment horizontal="left" vertical="top"/>
    </xf>
    <xf numFmtId="0" fontId="3" fillId="0" borderId="0" xfId="0" quotePrefix="1" applyFont="1" applyAlignment="1">
      <alignment vertical="top" wrapText="1"/>
    </xf>
    <xf numFmtId="0" fontId="0" fillId="0" borderId="0" xfId="0" applyFont="1"/>
    <xf numFmtId="0" fontId="0" fillId="0" borderId="0" xfId="0" applyFont="1" applyFill="1"/>
    <xf numFmtId="0" fontId="0" fillId="0" borderId="0" xfId="0" applyAlignment="1">
      <alignment horizontal="left"/>
    </xf>
    <xf numFmtId="0" fontId="0" fillId="0" borderId="0" xfId="0" quotePrefix="1" applyFill="1" applyAlignment="1">
      <alignment wrapText="1"/>
    </xf>
    <xf numFmtId="0" fontId="1" fillId="0" borderId="0" xfId="0" applyFont="1" applyFill="1"/>
    <xf numFmtId="2" fontId="15" fillId="0" borderId="0" xfId="0" applyNumberFormat="1" applyFont="1" applyFill="1" applyBorder="1" applyAlignment="1">
      <alignment horizontal="center"/>
    </xf>
    <xf numFmtId="0" fontId="0" fillId="0" borderId="0" xfId="0" applyFill="1" applyBorder="1"/>
    <xf numFmtId="0" fontId="0" fillId="0" borderId="9" xfId="0" applyBorder="1" applyAlignment="1">
      <alignment horizontal="left" vertical="top"/>
    </xf>
    <xf numFmtId="0" fontId="3" fillId="0" borderId="9" xfId="0" applyFont="1" applyFill="1" applyBorder="1" applyAlignment="1">
      <alignment horizontal="left" vertical="top" wrapText="1"/>
    </xf>
    <xf numFmtId="0" fontId="0" fillId="0" borderId="0" xfId="0" applyBorder="1" applyAlignment="1">
      <alignment horizontal="left" vertical="top" wrapText="1"/>
    </xf>
    <xf numFmtId="0" fontId="1" fillId="0" borderId="0" xfId="0" applyFont="1" applyAlignment="1">
      <alignment horizontal="center"/>
    </xf>
    <xf numFmtId="166" fontId="0" fillId="0" borderId="0" xfId="0" applyNumberFormat="1"/>
    <xf numFmtId="0" fontId="0" fillId="0" borderId="10" xfId="0" applyFill="1" applyBorder="1" applyAlignment="1">
      <alignment horizontal="left" vertical="top" wrapText="1"/>
    </xf>
    <xf numFmtId="2" fontId="0" fillId="0" borderId="0" xfId="0" applyNumberFormat="1"/>
    <xf numFmtId="1" fontId="0" fillId="0" borderId="0" xfId="0" applyNumberFormat="1"/>
    <xf numFmtId="0" fontId="0" fillId="0" borderId="9" xfId="0" applyBorder="1"/>
    <xf numFmtId="0" fontId="0" fillId="0" borderId="0" xfId="0" applyBorder="1"/>
    <xf numFmtId="0" fontId="0" fillId="0" borderId="10" xfId="0" applyBorder="1"/>
    <xf numFmtId="0" fontId="0" fillId="0" borderId="9" xfId="0" applyFill="1" applyBorder="1"/>
    <xf numFmtId="0" fontId="0" fillId="0" borderId="1" xfId="0" applyBorder="1"/>
    <xf numFmtId="0" fontId="0" fillId="0" borderId="11" xfId="0" applyBorder="1"/>
    <xf numFmtId="0" fontId="0" fillId="0" borderId="7" xfId="0" applyBorder="1"/>
    <xf numFmtId="1" fontId="2" fillId="0" borderId="0" xfId="0" applyNumberFormat="1" applyFont="1"/>
    <xf numFmtId="166" fontId="2" fillId="0" borderId="0" xfId="0" applyNumberFormat="1" applyFont="1"/>
    <xf numFmtId="0" fontId="1" fillId="0" borderId="0" xfId="0" applyFont="1" applyFill="1" applyBorder="1" applyAlignment="1">
      <alignment horizontal="center"/>
    </xf>
    <xf numFmtId="0" fontId="0" fillId="0" borderId="0" xfId="0" quotePrefix="1" applyAlignment="1">
      <alignment horizontal="left" vertical="top" wrapText="1"/>
    </xf>
    <xf numFmtId="0" fontId="3" fillId="0" borderId="0" xfId="0" applyFont="1"/>
    <xf numFmtId="0" fontId="3" fillId="0" borderId="6" xfId="0" applyFont="1" applyBorder="1" applyAlignment="1">
      <alignment horizontal="left" vertical="top" wrapText="1"/>
    </xf>
    <xf numFmtId="0" fontId="0" fillId="0" borderId="6" xfId="0" applyBorder="1" applyAlignment="1">
      <alignment vertical="top"/>
    </xf>
    <xf numFmtId="0" fontId="0" fillId="0" borderId="8" xfId="0" applyBorder="1" applyAlignment="1">
      <alignment horizontal="left" vertical="top"/>
    </xf>
    <xf numFmtId="0" fontId="1" fillId="0" borderId="0" xfId="0" applyFont="1" applyFill="1" applyBorder="1" applyAlignment="1">
      <alignment horizontal="center" vertical="top" wrapText="1"/>
    </xf>
    <xf numFmtId="0" fontId="1" fillId="0" borderId="11" xfId="0" applyFont="1" applyBorder="1" applyAlignment="1">
      <alignment horizontal="center"/>
    </xf>
    <xf numFmtId="0" fontId="1" fillId="0" borderId="0" xfId="0" applyFont="1" applyBorder="1" applyAlignment="1">
      <alignment horizontal="center"/>
    </xf>
    <xf numFmtId="0" fontId="1" fillId="0" borderId="12"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9" xfId="0" applyFont="1" applyBorder="1"/>
    <xf numFmtId="0" fontId="1" fillId="0" borderId="10" xfId="0" applyFont="1" applyBorder="1" applyAlignment="1">
      <alignment horizontal="center"/>
    </xf>
    <xf numFmtId="0" fontId="1" fillId="0" borderId="12" xfId="0" applyFont="1" applyBorder="1"/>
    <xf numFmtId="0" fontId="1" fillId="0" borderId="11" xfId="0" applyFont="1" applyBorder="1"/>
    <xf numFmtId="0" fontId="1" fillId="0" borderId="1" xfId="0" applyFont="1" applyBorder="1" applyAlignment="1">
      <alignment horizontal="center"/>
    </xf>
    <xf numFmtId="0" fontId="1" fillId="0" borderId="7" xfId="0" applyFont="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0" borderId="13" xfId="0" applyFont="1" applyBorder="1" applyAlignment="1">
      <alignment horizontal="center" vertical="top" wrapText="1"/>
    </xf>
    <xf numFmtId="0" fontId="3" fillId="0" borderId="0" xfId="0" applyFont="1" applyAlignment="1">
      <alignment horizontal="right"/>
    </xf>
    <xf numFmtId="0" fontId="0" fillId="0" borderId="7" xfId="0" applyBorder="1" applyAlignment="1">
      <alignment horizontal="left" vertical="top" wrapText="1"/>
    </xf>
    <xf numFmtId="0" fontId="0" fillId="0" borderId="1" xfId="0" applyBorder="1" applyAlignment="1">
      <alignment horizontal="left" vertical="top" wrapText="1"/>
    </xf>
    <xf numFmtId="165" fontId="0" fillId="0" borderId="0" xfId="0" applyNumberFormat="1" applyFill="1"/>
    <xf numFmtId="0" fontId="18" fillId="0" borderId="0" xfId="0" applyFont="1"/>
    <xf numFmtId="0" fontId="1" fillId="0" borderId="9" xfId="0" applyFont="1" applyBorder="1" applyAlignment="1">
      <alignment horizontal="left" vertical="top"/>
    </xf>
    <xf numFmtId="0" fontId="3" fillId="0" borderId="0" xfId="0" applyFont="1" applyAlignment="1">
      <alignment horizontal="left" vertical="top"/>
    </xf>
    <xf numFmtId="164" fontId="0" fillId="0" borderId="0" xfId="0" applyNumberFormat="1" applyAlignment="1">
      <alignment horizontal="left" vertical="top" wrapText="1"/>
    </xf>
    <xf numFmtId="0" fontId="0" fillId="0" borderId="1" xfId="0" applyBorder="1" applyAlignment="1">
      <alignment horizontal="left" vertical="top"/>
    </xf>
    <xf numFmtId="0" fontId="19" fillId="0" borderId="0" xfId="0" applyFont="1" applyAlignment="1">
      <alignment horizontal="left" vertical="top" wrapText="1"/>
    </xf>
    <xf numFmtId="16" fontId="0" fillId="0" borderId="0" xfId="0" quotePrefix="1" applyNumberFormat="1" applyAlignment="1">
      <alignment horizontal="left" vertical="top" wrapText="1"/>
    </xf>
    <xf numFmtId="0" fontId="8" fillId="0" borderId="0" xfId="1" applyFill="1" applyBorder="1" applyAlignment="1">
      <alignment horizontal="left" vertical="top" wrapText="1"/>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xf>
    <xf numFmtId="0" fontId="11" fillId="0" borderId="0" xfId="0" applyFont="1" applyAlignment="1">
      <alignment horizontal="left" vertical="top" wrapText="1"/>
    </xf>
    <xf numFmtId="0" fontId="20" fillId="0" borderId="0" xfId="0" applyFont="1" applyAlignment="1">
      <alignment horizontal="left" vertical="top" wrapText="1"/>
    </xf>
    <xf numFmtId="0" fontId="6" fillId="0" borderId="0" xfId="0" applyFont="1" applyAlignment="1">
      <alignment horizontal="left" vertical="top" wrapText="1"/>
    </xf>
    <xf numFmtId="0" fontId="11" fillId="0" borderId="1" xfId="0" applyFont="1" applyBorder="1" applyAlignment="1">
      <alignment horizontal="left" vertical="top" wrapText="1"/>
    </xf>
    <xf numFmtId="0" fontId="3" fillId="0" borderId="1" xfId="0" quotePrefix="1" applyFont="1" applyBorder="1" applyAlignment="1">
      <alignment horizontal="left" vertical="top" wrapText="1"/>
    </xf>
    <xf numFmtId="17" fontId="3" fillId="0" borderId="10" xfId="0" quotePrefix="1" applyNumberFormat="1" applyFont="1" applyBorder="1" applyAlignment="1">
      <alignment horizontal="left" vertical="top" wrapText="1"/>
    </xf>
    <xf numFmtId="17" fontId="3" fillId="0" borderId="1" xfId="0" quotePrefix="1" applyNumberFormat="1" applyFont="1" applyBorder="1" applyAlignment="1">
      <alignment horizontal="left" vertical="top" wrapText="1"/>
    </xf>
    <xf numFmtId="0" fontId="0" fillId="0" borderId="2" xfId="0" applyBorder="1" applyAlignment="1">
      <alignment horizontal="left" vertical="top"/>
    </xf>
    <xf numFmtId="16" fontId="3" fillId="0" borderId="0" xfId="0" quotePrefix="1" applyNumberFormat="1" applyFont="1" applyAlignment="1">
      <alignment horizontal="left" vertical="top" wrapText="1"/>
    </xf>
    <xf numFmtId="0" fontId="0" fillId="0" borderId="0" xfId="0" quotePrefix="1" applyAlignment="1">
      <alignment horizontal="left" vertical="top"/>
    </xf>
    <xf numFmtId="0" fontId="0" fillId="0" borderId="1" xfId="0" applyBorder="1" applyAlignment="1">
      <alignment vertical="top"/>
    </xf>
    <xf numFmtId="16" fontId="3" fillId="0" borderId="2" xfId="0" quotePrefix="1" applyNumberFormat="1" applyFont="1" applyBorder="1" applyAlignment="1">
      <alignment horizontal="left" vertical="top" wrapText="1"/>
    </xf>
    <xf numFmtId="16" fontId="3" fillId="0" borderId="1" xfId="0" quotePrefix="1" applyNumberFormat="1" applyFont="1" applyBorder="1" applyAlignment="1">
      <alignment horizontal="left" vertical="top" wrapText="1"/>
    </xf>
    <xf numFmtId="3" fontId="0" fillId="0" borderId="0" xfId="0" applyNumberFormat="1" applyAlignment="1">
      <alignment horizontal="left" vertical="top" wrapText="1"/>
    </xf>
    <xf numFmtId="0" fontId="11" fillId="0" borderId="0" xfId="0" applyFont="1" applyAlignment="1">
      <alignment horizontal="left" vertical="top"/>
    </xf>
    <xf numFmtId="17" fontId="0" fillId="0" borderId="0" xfId="0" quotePrefix="1" applyNumberFormat="1" applyAlignment="1">
      <alignment horizontal="left" vertical="top" wrapText="1"/>
    </xf>
    <xf numFmtId="0" fontId="0" fillId="0" borderId="1" xfId="0" quotePrefix="1" applyBorder="1" applyAlignment="1">
      <alignment horizontal="left" vertical="top" wrapText="1"/>
    </xf>
    <xf numFmtId="0" fontId="11" fillId="0" borderId="1" xfId="0" applyFont="1" applyBorder="1" applyAlignment="1">
      <alignment horizontal="left" vertical="top"/>
    </xf>
    <xf numFmtId="0" fontId="2" fillId="0" borderId="0" xfId="0" applyFont="1" applyAlignment="1">
      <alignment horizontal="left" vertical="top" wrapText="1"/>
    </xf>
    <xf numFmtId="0" fontId="1" fillId="0" borderId="11" xfId="0" applyFont="1" applyBorder="1" applyAlignment="1">
      <alignment horizontal="left" vertical="top"/>
    </xf>
    <xf numFmtId="0" fontId="6" fillId="0" borderId="6" xfId="0" applyFont="1" applyBorder="1" applyAlignment="1">
      <alignment horizontal="left" vertical="top"/>
    </xf>
    <xf numFmtId="0" fontId="3" fillId="0" borderId="6" xfId="0" applyFont="1" applyBorder="1" applyAlignment="1">
      <alignment horizontal="left" vertical="top"/>
    </xf>
    <xf numFmtId="0" fontId="11" fillId="0" borderId="8" xfId="0" applyFont="1" applyBorder="1" applyAlignment="1">
      <alignment horizontal="left" vertical="top" wrapText="1"/>
    </xf>
    <xf numFmtId="0" fontId="2" fillId="0" borderId="6" xfId="0" applyFont="1" applyBorder="1" applyAlignment="1">
      <alignment horizontal="left" vertical="top"/>
    </xf>
    <xf numFmtId="0" fontId="0" fillId="0" borderId="0" xfId="0" applyAlignment="1">
      <alignment wrapText="1"/>
    </xf>
    <xf numFmtId="0" fontId="2" fillId="0" borderId="0" xfId="0" applyFont="1"/>
    <xf numFmtId="0" fontId="4" fillId="0" borderId="2" xfId="0" applyFont="1" applyFill="1" applyBorder="1" applyAlignment="1">
      <alignment horizontal="center" vertical="top" wrapText="1"/>
    </xf>
    <xf numFmtId="0" fontId="4" fillId="0" borderId="2" xfId="0" applyFont="1" applyBorder="1" applyAlignment="1">
      <alignment horizontal="center" vertical="top" wrapText="1"/>
    </xf>
    <xf numFmtId="0" fontId="4" fillId="0" borderId="0" xfId="0" applyFont="1" applyFill="1" applyBorder="1" applyAlignment="1">
      <alignment horizontal="center" vertical="top" wrapText="1"/>
    </xf>
    <xf numFmtId="0" fontId="4" fillId="0" borderId="0" xfId="0" applyFont="1" applyBorder="1" applyAlignment="1">
      <alignment horizontal="center"/>
    </xf>
    <xf numFmtId="0" fontId="4" fillId="0" borderId="1" xfId="0" applyFont="1" applyBorder="1" applyAlignment="1">
      <alignment horizontal="center"/>
    </xf>
    <xf numFmtId="165" fontId="0" fillId="0" borderId="9" xfId="0" applyNumberFormat="1" applyFill="1" applyBorder="1"/>
    <xf numFmtId="0" fontId="3" fillId="0" borderId="0" xfId="0" applyFont="1" applyFill="1" applyBorder="1"/>
    <xf numFmtId="166" fontId="0" fillId="0" borderId="0" xfId="0" applyNumberFormat="1" applyFill="1" applyBorder="1"/>
    <xf numFmtId="165" fontId="0" fillId="0" borderId="0" xfId="0" applyNumberFormat="1" applyFill="1" applyBorder="1"/>
    <xf numFmtId="166" fontId="3" fillId="0" borderId="0" xfId="0" applyNumberFormat="1" applyFont="1" applyFill="1" applyBorder="1"/>
    <xf numFmtId="0" fontId="0" fillId="0" borderId="10" xfId="0" applyFill="1" applyBorder="1"/>
    <xf numFmtId="165" fontId="0" fillId="0" borderId="11" xfId="0" applyNumberFormat="1" applyFill="1" applyBorder="1"/>
    <xf numFmtId="166" fontId="0" fillId="0" borderId="1" xfId="0" applyNumberFormat="1" applyFill="1" applyBorder="1"/>
    <xf numFmtId="0" fontId="3" fillId="0" borderId="0" xfId="0" applyFont="1" applyFill="1"/>
    <xf numFmtId="0" fontId="3" fillId="4" borderId="10" xfId="0" applyFont="1" applyFill="1" applyBorder="1" applyAlignment="1">
      <alignment horizontal="left" vertical="top"/>
    </xf>
    <xf numFmtId="0" fontId="3" fillId="4" borderId="6" xfId="0" applyFont="1" applyFill="1" applyBorder="1" applyAlignment="1">
      <alignment horizontal="left" vertical="top"/>
    </xf>
    <xf numFmtId="0" fontId="0" fillId="0" borderId="0" xfId="0" applyAlignment="1">
      <alignment horizontal="left" vertical="top" wrapText="1"/>
    </xf>
    <xf numFmtId="0" fontId="1" fillId="0" borderId="0" xfId="0" applyFont="1" applyBorder="1"/>
    <xf numFmtId="165" fontId="0" fillId="0" borderId="0" xfId="0" applyNumberFormat="1" applyBorder="1" applyAlignment="1">
      <alignment horizontal="right" vertical="top"/>
    </xf>
    <xf numFmtId="0" fontId="0" fillId="0" borderId="0" xfId="0" applyBorder="1" applyAlignment="1">
      <alignment horizontal="left" vertical="top"/>
    </xf>
    <xf numFmtId="165" fontId="0" fillId="0" borderId="0" xfId="0" applyNumberFormat="1"/>
    <xf numFmtId="1" fontId="3" fillId="0" borderId="0" xfId="0" applyNumberFormat="1" applyFont="1"/>
    <xf numFmtId="1" fontId="4" fillId="0" borderId="0" xfId="0" quotePrefix="1" applyNumberFormat="1" applyFont="1"/>
    <xf numFmtId="0" fontId="1" fillId="0" borderId="0" xfId="0" applyFont="1" applyAlignment="1">
      <alignment horizontal="left" vertical="top" wrapText="1"/>
    </xf>
    <xf numFmtId="165" fontId="3" fillId="0" borderId="0" xfId="0" applyNumberFormat="1" applyFont="1"/>
    <xf numFmtId="0" fontId="4" fillId="0" borderId="0" xfId="0" applyFont="1" applyFill="1" applyBorder="1" applyAlignment="1">
      <alignment horizontal="left" vertical="top" wrapText="1"/>
    </xf>
    <xf numFmtId="0" fontId="3" fillId="0" borderId="0" xfId="0" applyFont="1" applyBorder="1" applyAlignment="1">
      <alignment horizontal="left" vertical="top" wrapText="1"/>
    </xf>
    <xf numFmtId="0" fontId="19" fillId="0" borderId="0" xfId="0" applyFont="1" applyBorder="1" applyAlignment="1">
      <alignment horizontal="left" vertical="top" wrapText="1"/>
    </xf>
    <xf numFmtId="0" fontId="11" fillId="0" borderId="0" xfId="0" applyFont="1" applyBorder="1" applyAlignment="1">
      <alignment horizontal="left" vertical="top" wrapText="1"/>
    </xf>
    <xf numFmtId="0" fontId="3" fillId="0" borderId="0" xfId="0" applyFont="1" applyBorder="1" applyAlignment="1">
      <alignment horizontal="left" vertical="top"/>
    </xf>
    <xf numFmtId="0" fontId="6" fillId="0" borderId="0" xfId="0" applyFont="1" applyBorder="1" applyAlignment="1">
      <alignment horizontal="left" vertical="top" wrapText="1"/>
    </xf>
    <xf numFmtId="0" fontId="3" fillId="0" borderId="5" xfId="0" applyFont="1" applyFill="1" applyBorder="1" applyAlignment="1">
      <alignment horizontal="left" vertical="top" wrapText="1"/>
    </xf>
    <xf numFmtId="0" fontId="0" fillId="0" borderId="13" xfId="0" applyBorder="1"/>
    <xf numFmtId="0" fontId="3" fillId="0" borderId="10" xfId="0" applyFont="1" applyFill="1" applyBorder="1" applyAlignment="1">
      <alignment horizontal="left" vertical="top" wrapText="1"/>
    </xf>
    <xf numFmtId="0" fontId="0" fillId="0" borderId="10" xfId="0" applyFill="1" applyBorder="1" applyAlignment="1">
      <alignment horizontal="left" vertical="top"/>
    </xf>
    <xf numFmtId="0" fontId="9" fillId="0" borderId="9" xfId="0" applyFont="1" applyBorder="1" applyAlignment="1">
      <alignment horizontal="left" vertical="top"/>
    </xf>
    <xf numFmtId="0" fontId="9" fillId="0" borderId="11" xfId="0" applyFont="1" applyBorder="1" applyAlignment="1">
      <alignment horizontal="left" vertical="top"/>
    </xf>
    <xf numFmtId="0" fontId="0" fillId="2" borderId="9" xfId="0" applyFill="1" applyBorder="1" applyAlignment="1">
      <alignment horizontal="left" vertical="top"/>
    </xf>
    <xf numFmtId="0" fontId="1" fillId="0" borderId="0" xfId="0" applyFont="1" applyFill="1" applyAlignment="1">
      <alignment horizontal="left" vertical="top"/>
    </xf>
    <xf numFmtId="0" fontId="13" fillId="0" borderId="0" xfId="0" applyFont="1" applyFill="1"/>
    <xf numFmtId="0" fontId="0" fillId="0" borderId="0" xfId="0" applyFill="1" applyAlignment="1">
      <alignment horizontal="center"/>
    </xf>
    <xf numFmtId="0" fontId="0" fillId="0" borderId="0" xfId="0" applyFill="1" applyAlignment="1">
      <alignment horizontal="left" vertical="top"/>
    </xf>
    <xf numFmtId="0" fontId="3" fillId="0" borderId="0" xfId="0" applyFont="1" applyAlignment="1">
      <alignment wrapText="1"/>
    </xf>
    <xf numFmtId="0" fontId="3" fillId="0" borderId="0" xfId="0" applyFont="1" applyAlignment="1">
      <alignment horizontal="right" vertical="top"/>
    </xf>
    <xf numFmtId="0" fontId="1" fillId="0" borderId="9" xfId="0" applyFont="1" applyFill="1" applyBorder="1" applyAlignment="1">
      <alignment horizontal="left" vertical="top"/>
    </xf>
    <xf numFmtId="0" fontId="1" fillId="0" borderId="8" xfId="0" applyFont="1" applyFill="1" applyBorder="1" applyAlignment="1">
      <alignment horizontal="left" vertical="top" wrapText="1"/>
    </xf>
    <xf numFmtId="0" fontId="0" fillId="5" borderId="0" xfId="0" applyFill="1"/>
    <xf numFmtId="0" fontId="0" fillId="0" borderId="10" xfId="0" applyFill="1" applyBorder="1" applyAlignment="1">
      <alignment vertical="top"/>
    </xf>
    <xf numFmtId="0" fontId="0" fillId="0" borderId="0" xfId="0" applyFill="1" applyAlignment="1">
      <alignment vertical="top"/>
    </xf>
    <xf numFmtId="0" fontId="8" fillId="0" borderId="0" xfId="1" applyFill="1" applyAlignment="1">
      <alignment vertical="top"/>
    </xf>
    <xf numFmtId="0" fontId="0" fillId="0" borderId="6" xfId="0" applyFill="1" applyBorder="1" applyAlignment="1">
      <alignment vertical="top"/>
    </xf>
    <xf numFmtId="0" fontId="0" fillId="0" borderId="6" xfId="0" applyFill="1" applyBorder="1" applyAlignment="1">
      <alignment horizontal="left" vertical="top" wrapText="1"/>
    </xf>
    <xf numFmtId="0" fontId="0" fillId="0" borderId="6" xfId="0" applyFill="1" applyBorder="1"/>
    <xf numFmtId="166" fontId="2" fillId="0" borderId="10" xfId="0" applyNumberFormat="1" applyFont="1" applyFill="1" applyBorder="1" applyAlignment="1">
      <alignment vertical="top"/>
    </xf>
    <xf numFmtId="166" fontId="0" fillId="0" borderId="6" xfId="0" applyNumberFormat="1" applyFill="1" applyBorder="1" applyAlignment="1">
      <alignment vertical="top"/>
    </xf>
    <xf numFmtId="168" fontId="0" fillId="0" borderId="10" xfId="0" applyNumberFormat="1" applyBorder="1"/>
    <xf numFmtId="168" fontId="0" fillId="0" borderId="0" xfId="0" applyNumberFormat="1"/>
    <xf numFmtId="168" fontId="0" fillId="0" borderId="0" xfId="0" applyNumberFormat="1" applyBorder="1"/>
    <xf numFmtId="168" fontId="0" fillId="0" borderId="10" xfId="0" applyNumberFormat="1" applyFill="1" applyBorder="1"/>
    <xf numFmtId="168" fontId="0" fillId="0" borderId="0" xfId="0" applyNumberFormat="1" applyFill="1" applyBorder="1"/>
    <xf numFmtId="168" fontId="0" fillId="0" borderId="1" xfId="0" applyNumberFormat="1" applyBorder="1"/>
    <xf numFmtId="168" fontId="0" fillId="0" borderId="7" xfId="0" applyNumberFormat="1" applyBorder="1"/>
    <xf numFmtId="0" fontId="3" fillId="0" borderId="5" xfId="0" applyFont="1" applyFill="1" applyBorder="1" applyAlignment="1">
      <alignment horizontal="left" vertical="top"/>
    </xf>
    <xf numFmtId="2" fontId="3" fillId="0" borderId="5" xfId="0" applyNumberFormat="1" applyFont="1" applyFill="1" applyBorder="1" applyAlignment="1">
      <alignment horizontal="left" vertical="top"/>
    </xf>
    <xf numFmtId="0" fontId="3" fillId="0" borderId="6" xfId="0" applyFont="1" applyFill="1" applyBorder="1" applyAlignment="1">
      <alignment horizontal="left" vertical="top"/>
    </xf>
    <xf numFmtId="14" fontId="3" fillId="0" borderId="5"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5" xfId="0" quotePrefix="1" applyFont="1" applyFill="1" applyBorder="1" applyAlignment="1">
      <alignment horizontal="left" vertical="top" wrapText="1"/>
    </xf>
    <xf numFmtId="16" fontId="3" fillId="0" borderId="5" xfId="0" quotePrefix="1" applyNumberFormat="1" applyFont="1" applyFill="1" applyBorder="1" applyAlignment="1">
      <alignment horizontal="left" vertical="top" wrapText="1"/>
    </xf>
    <xf numFmtId="0" fontId="3" fillId="0" borderId="0" xfId="0" applyFont="1" applyAlignment="1">
      <alignment horizontal="left" vertical="center"/>
    </xf>
    <xf numFmtId="167" fontId="3" fillId="0" borderId="4" xfId="0" applyNumberFormat="1" applyFont="1" applyFill="1" applyBorder="1" applyAlignment="1">
      <alignment horizontal="left" vertical="top" wrapText="1"/>
    </xf>
    <xf numFmtId="167" fontId="3" fillId="0" borderId="5" xfId="0" applyNumberFormat="1" applyFont="1" applyFill="1" applyBorder="1" applyAlignment="1">
      <alignment horizontal="left" vertical="top" wrapText="1"/>
    </xf>
    <xf numFmtId="2" fontId="3" fillId="0" borderId="5" xfId="0" applyNumberFormat="1" applyFont="1" applyFill="1" applyBorder="1" applyAlignment="1">
      <alignment horizontal="left" vertical="top" wrapText="1"/>
    </xf>
    <xf numFmtId="0" fontId="3" fillId="0" borderId="4" xfId="0" quotePrefix="1" applyFont="1" applyFill="1" applyBorder="1" applyAlignment="1">
      <alignment horizontal="left" vertical="top"/>
    </xf>
    <xf numFmtId="16" fontId="3" fillId="0" borderId="5" xfId="0" quotePrefix="1" applyNumberFormat="1" applyFont="1" applyFill="1" applyBorder="1" applyAlignment="1">
      <alignment horizontal="left" vertical="top"/>
    </xf>
    <xf numFmtId="0" fontId="3" fillId="0" borderId="4" xfId="0" applyFont="1" applyFill="1" applyBorder="1" applyAlignment="1">
      <alignment horizontal="left" vertical="top"/>
    </xf>
    <xf numFmtId="14" fontId="3" fillId="0" borderId="5" xfId="0" applyNumberFormat="1" applyFont="1" applyFill="1" applyBorder="1" applyAlignment="1">
      <alignment horizontal="left" vertical="top"/>
    </xf>
    <xf numFmtId="0" fontId="3" fillId="0" borderId="8" xfId="0" applyFont="1" applyFill="1" applyBorder="1" applyAlignment="1">
      <alignment horizontal="left" vertical="top"/>
    </xf>
    <xf numFmtId="2" fontId="3" fillId="0" borderId="5" xfId="0" applyNumberFormat="1" applyFont="1" applyFill="1" applyBorder="1" applyAlignment="1">
      <alignment horizontal="left"/>
    </xf>
    <xf numFmtId="165" fontId="3" fillId="0" borderId="5" xfId="0" applyNumberFormat="1" applyFont="1" applyFill="1" applyBorder="1" applyAlignment="1">
      <alignment horizontal="left"/>
    </xf>
    <xf numFmtId="165" fontId="3" fillId="0" borderId="5" xfId="0" applyNumberFormat="1" applyFont="1" applyFill="1" applyBorder="1" applyAlignment="1">
      <alignment horizontal="left" vertical="top" wrapText="1"/>
    </xf>
    <xf numFmtId="2" fontId="3" fillId="0" borderId="6" xfId="0" applyNumberFormat="1" applyFont="1" applyFill="1" applyBorder="1" applyAlignment="1">
      <alignment horizontal="left" vertical="top" wrapText="1"/>
    </xf>
    <xf numFmtId="0" fontId="3" fillId="0" borderId="6" xfId="0" applyFont="1" applyFill="1" applyBorder="1" applyAlignment="1">
      <alignment horizontal="left"/>
    </xf>
    <xf numFmtId="0" fontId="3" fillId="0" borderId="5" xfId="0" quotePrefix="1" applyFont="1" applyFill="1" applyBorder="1" applyAlignment="1">
      <alignment horizontal="left"/>
    </xf>
    <xf numFmtId="165" fontId="3" fillId="0" borderId="6" xfId="0" applyNumberFormat="1" applyFont="1" applyFill="1" applyBorder="1" applyAlignment="1">
      <alignment horizontal="left" vertical="top" wrapText="1"/>
    </xf>
    <xf numFmtId="1" fontId="3" fillId="0" borderId="5" xfId="0" applyNumberFormat="1" applyFont="1" applyFill="1" applyBorder="1" applyAlignment="1">
      <alignment horizontal="left" vertical="top" wrapText="1"/>
    </xf>
    <xf numFmtId="1" fontId="3" fillId="0" borderId="6" xfId="0" applyNumberFormat="1" applyFont="1" applyFill="1" applyBorder="1" applyAlignment="1">
      <alignment horizontal="left" vertical="top" wrapText="1"/>
    </xf>
    <xf numFmtId="166" fontId="3" fillId="0" borderId="5" xfId="0" applyNumberFormat="1" applyFont="1" applyFill="1" applyBorder="1" applyAlignment="1">
      <alignment horizontal="left" vertical="top"/>
    </xf>
    <xf numFmtId="166" fontId="3" fillId="0" borderId="5" xfId="0" applyNumberFormat="1" applyFont="1" applyFill="1" applyBorder="1" applyAlignment="1">
      <alignment horizontal="left" vertical="top" wrapText="1"/>
    </xf>
    <xf numFmtId="166" fontId="3" fillId="0" borderId="6" xfId="0" applyNumberFormat="1" applyFont="1" applyFill="1" applyBorder="1" applyAlignment="1">
      <alignment horizontal="left" vertical="top" wrapText="1"/>
    </xf>
    <xf numFmtId="0" fontId="3" fillId="0" borderId="0" xfId="0" applyFont="1" applyAlignment="1">
      <alignment horizontal="left"/>
    </xf>
    <xf numFmtId="166" fontId="3" fillId="0" borderId="0" xfId="0" applyNumberFormat="1" applyFont="1" applyAlignment="1">
      <alignment horizontal="left"/>
    </xf>
    <xf numFmtId="0" fontId="3" fillId="0" borderId="8" xfId="0" applyFont="1" applyFill="1" applyBorder="1" applyAlignment="1">
      <alignment vertical="center"/>
    </xf>
    <xf numFmtId="1" fontId="3" fillId="0" borderId="5" xfId="0" applyNumberFormat="1" applyFont="1" applyFill="1" applyBorder="1" applyAlignment="1">
      <alignment horizontal="left" vertical="top"/>
    </xf>
    <xf numFmtId="2" fontId="3" fillId="0" borderId="0" xfId="0" applyNumberFormat="1" applyFont="1" applyAlignment="1">
      <alignment horizontal="left"/>
    </xf>
    <xf numFmtId="0" fontId="0" fillId="0" borderId="0" xfId="0" quotePrefix="1" applyAlignment="1">
      <alignment horizontal="left" vertical="top" wrapText="1"/>
    </xf>
    <xf numFmtId="0" fontId="0" fillId="0" borderId="0" xfId="0" applyAlignment="1">
      <alignment horizontal="center" vertical="center"/>
    </xf>
  </cellXfs>
  <cellStyles count="3">
    <cellStyle name="Hyperlink" xfId="1" builtinId="8"/>
    <cellStyle name="Normal" xfId="0" builtinId="0"/>
    <cellStyle name="Percent" xfId="2" builtinId="5"/>
  </cellStyles>
  <dxfs count="1175">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strike val="0"/>
        <color rgb="FFC00000"/>
      </font>
    </dxf>
    <dxf>
      <font>
        <color rgb="FFC00000"/>
      </font>
    </dxf>
    <dxf>
      <font>
        <color rgb="FFC00000"/>
      </font>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theme="7" tint="0.79998168889431442"/>
      </font>
      <fill>
        <patternFill>
          <f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none">
          <bgColor auto="1"/>
        </patternFill>
      </fill>
    </dxf>
    <dxf>
      <font>
        <color theme="7" tint="0.79998168889431442"/>
      </font>
      <fill>
        <patternFill>
          <fgColor auto="1"/>
          <bgColor theme="7" tint="0.79998168889431442"/>
        </patternFill>
      </fill>
    </dxf>
    <dxf>
      <font>
        <color theme="0"/>
      </font>
      <fill>
        <patternFill patternType="solid">
          <bgColor theme="0"/>
        </patternFill>
      </fill>
    </dxf>
    <dxf>
      <font>
        <color auto="1"/>
      </font>
      <fill>
        <patternFill>
          <bgColor theme="7"/>
        </patternFill>
      </fill>
    </dxf>
    <dxf>
      <font>
        <color rgb="FFFF0000"/>
      </font>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
      <font>
        <color auto="1"/>
      </font>
      <fill>
        <patternFill>
          <bgColor theme="2"/>
        </patternFill>
      </fill>
    </dxf>
    <dxf>
      <font>
        <color auto="1"/>
      </font>
    </dxf>
    <dxf>
      <font>
        <color auto="1"/>
      </font>
      <fill>
        <patternFill>
          <bgColor theme="7" tint="0.79998168889431442"/>
        </patternFill>
      </fill>
    </dxf>
    <dxf>
      <font>
        <color auto="1"/>
      </font>
      <fill>
        <patternFill>
          <bgColor theme="7"/>
        </patternFill>
      </fill>
    </dxf>
  </dxfs>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i.org/10.1002/adem.201400136" TargetMode="External"/><Relationship Id="rId1" Type="http://schemas.openxmlformats.org/officeDocument/2006/relationships/hyperlink" Target="https://doi.org/10.1080/09603409.2016.118641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3AD7-0224-4D57-ACCA-14BA572AA6D8}">
  <sheetPr codeName="Sheet1">
    <pageSetUpPr fitToPage="1"/>
  </sheetPr>
  <dimension ref="A1:L225"/>
  <sheetViews>
    <sheetView tabSelected="1" zoomScale="55" zoomScaleNormal="55" zoomScaleSheetLayoutView="50" workbookViewId="0">
      <pane xSplit="1" ySplit="11" topLeftCell="B12" activePane="bottomRight" state="frozen"/>
      <selection activeCell="B49" sqref="B49"/>
      <selection pane="topRight" activeCell="B49" sqref="B49"/>
      <selection pane="bottomLeft" activeCell="B49" sqref="B49"/>
      <selection pane="bottomRight" activeCell="C4" sqref="C4"/>
    </sheetView>
  </sheetViews>
  <sheetFormatPr defaultColWidth="10.58203125" defaultRowHeight="15.5" x14ac:dyDescent="0.35"/>
  <cols>
    <col min="1" max="1" width="9.83203125" style="17" customWidth="1"/>
    <col min="2" max="2" width="20.08203125" style="1" bestFit="1" customWidth="1"/>
    <col min="3" max="3" width="30.5" style="1" bestFit="1" customWidth="1"/>
    <col min="4" max="4" width="32" style="1" bestFit="1" customWidth="1"/>
    <col min="5" max="5" width="47" style="1" customWidth="1"/>
    <col min="6" max="6" width="51.33203125" style="1" customWidth="1"/>
    <col min="7" max="7" width="10.58203125" style="1" customWidth="1"/>
    <col min="8" max="8" width="7.58203125" style="1" customWidth="1"/>
    <col min="9" max="9" width="41.58203125" style="5" customWidth="1"/>
    <col min="10" max="10" width="85.08203125" style="1" customWidth="1"/>
    <col min="11" max="11" width="33.58203125" style="1" customWidth="1"/>
    <col min="12" max="12" width="63.33203125" style="5" customWidth="1"/>
    <col min="13" max="16384" width="10.58203125" style="1"/>
  </cols>
  <sheetData>
    <row r="1" spans="1:12" s="2" customFormat="1" ht="23.5" x14ac:dyDescent="0.55000000000000004">
      <c r="A1" s="168"/>
      <c r="C1" s="169" t="s">
        <v>679</v>
      </c>
      <c r="H1" s="170"/>
      <c r="I1" s="171"/>
      <c r="L1" s="171"/>
    </row>
    <row r="2" spans="1:12" ht="23.5" x14ac:dyDescent="0.55000000000000004">
      <c r="C2" s="89" t="s">
        <v>553</v>
      </c>
      <c r="H2" s="35"/>
    </row>
    <row r="3" spans="1:12" x14ac:dyDescent="0.35">
      <c r="H3" s="35"/>
    </row>
    <row r="4" spans="1:12" ht="235.5" customHeight="1" x14ac:dyDescent="0.35">
      <c r="B4" s="11"/>
      <c r="C4" s="11"/>
      <c r="D4" s="226" t="s">
        <v>402</v>
      </c>
      <c r="E4" s="226"/>
      <c r="F4" s="40" t="s">
        <v>554</v>
      </c>
      <c r="G4" s="11"/>
      <c r="H4" s="11"/>
      <c r="I4" s="6"/>
      <c r="J4" s="36"/>
      <c r="K4" s="128"/>
    </row>
    <row r="5" spans="1:12" x14ac:dyDescent="0.35">
      <c r="C5" s="11"/>
      <c r="D5" s="11"/>
      <c r="H5" s="35"/>
    </row>
    <row r="6" spans="1:12" s="3" customFormat="1" x14ac:dyDescent="0.35">
      <c r="A6" s="17"/>
      <c r="C6" s="4"/>
      <c r="F6" s="227"/>
      <c r="G6" s="227"/>
      <c r="H6" s="37"/>
      <c r="I6" s="6"/>
      <c r="J6" s="15"/>
      <c r="K6" s="8" t="s">
        <v>26</v>
      </c>
      <c r="L6" s="5"/>
    </row>
    <row r="7" spans="1:12" s="3" customFormat="1" x14ac:dyDescent="0.35">
      <c r="K7" s="9" t="s">
        <v>79</v>
      </c>
      <c r="L7" s="5"/>
    </row>
    <row r="8" spans="1:12" s="3" customFormat="1" x14ac:dyDescent="0.35">
      <c r="A8" s="34" t="s">
        <v>403</v>
      </c>
      <c r="B8" s="34" t="s">
        <v>404</v>
      </c>
      <c r="C8" s="34" t="s">
        <v>405</v>
      </c>
      <c r="D8" s="34" t="s">
        <v>406</v>
      </c>
      <c r="E8" s="34" t="s">
        <v>407</v>
      </c>
      <c r="F8" s="38" t="s">
        <v>376</v>
      </c>
      <c r="G8" s="33" t="s">
        <v>377</v>
      </c>
      <c r="H8" s="34" t="s">
        <v>378</v>
      </c>
      <c r="I8" s="34" t="s">
        <v>398</v>
      </c>
      <c r="J8" s="33" t="s">
        <v>399</v>
      </c>
      <c r="K8" s="33" t="s">
        <v>555</v>
      </c>
      <c r="L8" s="33" t="s">
        <v>379</v>
      </c>
    </row>
    <row r="9" spans="1:12" x14ac:dyDescent="0.35">
      <c r="A9" s="90">
        <v>1</v>
      </c>
      <c r="B9" s="5" t="s">
        <v>16</v>
      </c>
      <c r="C9" s="91" t="s">
        <v>42</v>
      </c>
      <c r="D9" s="5" t="s">
        <v>309</v>
      </c>
      <c r="E9" s="5"/>
      <c r="F9" s="10" t="s">
        <v>54</v>
      </c>
      <c r="G9" s="6"/>
      <c r="H9" s="6"/>
      <c r="I9" s="6" t="s">
        <v>319</v>
      </c>
      <c r="J9" s="92">
        <v>45041</v>
      </c>
      <c r="K9" s="18" t="s">
        <v>26</v>
      </c>
      <c r="L9" s="25"/>
    </row>
    <row r="10" spans="1:12" x14ac:dyDescent="0.35">
      <c r="A10" s="90">
        <v>2</v>
      </c>
      <c r="B10" s="5" t="s">
        <v>16</v>
      </c>
      <c r="C10" s="91" t="s">
        <v>42</v>
      </c>
      <c r="D10" s="5" t="s">
        <v>309</v>
      </c>
      <c r="E10" s="5"/>
      <c r="F10" s="10" t="s">
        <v>55</v>
      </c>
      <c r="G10" s="6"/>
      <c r="H10" s="6"/>
      <c r="I10" s="6" t="s">
        <v>319</v>
      </c>
      <c r="J10" s="92">
        <v>45061.5</v>
      </c>
      <c r="K10" s="19" t="s">
        <v>26</v>
      </c>
      <c r="L10" s="25" t="s">
        <v>195</v>
      </c>
    </row>
    <row r="11" spans="1:12" x14ac:dyDescent="0.35">
      <c r="A11" s="90">
        <v>3</v>
      </c>
      <c r="B11" s="5" t="s">
        <v>16</v>
      </c>
      <c r="C11" s="91" t="s">
        <v>42</v>
      </c>
      <c r="D11" s="5" t="s">
        <v>309</v>
      </c>
      <c r="E11" s="5"/>
      <c r="F11" s="6" t="s">
        <v>41</v>
      </c>
      <c r="G11" s="6"/>
      <c r="H11" s="6"/>
      <c r="I11" s="10" t="s">
        <v>323</v>
      </c>
      <c r="J11" s="6" t="s">
        <v>186</v>
      </c>
      <c r="K11" s="19" t="s">
        <v>26</v>
      </c>
      <c r="L11" s="25"/>
    </row>
    <row r="12" spans="1:12" x14ac:dyDescent="0.35">
      <c r="A12" s="90">
        <v>4</v>
      </c>
      <c r="B12" s="5" t="s">
        <v>16</v>
      </c>
      <c r="C12" s="91" t="s">
        <v>42</v>
      </c>
      <c r="D12" s="5" t="s">
        <v>309</v>
      </c>
      <c r="E12" s="5"/>
      <c r="F12" s="6" t="s">
        <v>7</v>
      </c>
      <c r="G12" s="6"/>
      <c r="H12" s="6"/>
      <c r="I12" s="10" t="s">
        <v>323</v>
      </c>
      <c r="J12" s="6" t="s">
        <v>74</v>
      </c>
      <c r="K12" s="19" t="s">
        <v>79</v>
      </c>
      <c r="L12" s="25"/>
    </row>
    <row r="13" spans="1:12" x14ac:dyDescent="0.35">
      <c r="A13" s="90">
        <v>5</v>
      </c>
      <c r="B13" s="5" t="s">
        <v>16</v>
      </c>
      <c r="C13" s="91" t="s">
        <v>42</v>
      </c>
      <c r="D13" s="93" t="s">
        <v>309</v>
      </c>
      <c r="E13" s="93"/>
      <c r="F13" s="87" t="s">
        <v>39</v>
      </c>
      <c r="G13" s="87"/>
      <c r="H13" s="87"/>
      <c r="I13" s="13" t="s">
        <v>323</v>
      </c>
      <c r="J13" s="87"/>
      <c r="K13" s="22" t="s">
        <v>79</v>
      </c>
      <c r="L13" s="124"/>
    </row>
    <row r="14" spans="1:12" x14ac:dyDescent="0.35">
      <c r="A14" s="90">
        <v>6</v>
      </c>
      <c r="B14" s="5" t="s">
        <v>16</v>
      </c>
      <c r="C14" s="91" t="s">
        <v>42</v>
      </c>
      <c r="D14" s="5" t="s">
        <v>187</v>
      </c>
      <c r="E14" s="5"/>
      <c r="F14" s="10" t="s">
        <v>301</v>
      </c>
      <c r="G14" s="10"/>
      <c r="H14" s="10"/>
      <c r="I14" s="10" t="s">
        <v>318</v>
      </c>
      <c r="J14" s="10" t="s">
        <v>66</v>
      </c>
      <c r="K14" s="19" t="s">
        <v>26</v>
      </c>
      <c r="L14" s="26" t="s">
        <v>348</v>
      </c>
    </row>
    <row r="15" spans="1:12" x14ac:dyDescent="0.35">
      <c r="A15" s="90">
        <v>7</v>
      </c>
      <c r="B15" s="5" t="s">
        <v>16</v>
      </c>
      <c r="C15" s="91" t="s">
        <v>42</v>
      </c>
      <c r="D15" s="5" t="s">
        <v>187</v>
      </c>
      <c r="E15" s="5"/>
      <c r="F15" s="10" t="s">
        <v>302</v>
      </c>
      <c r="G15" s="94"/>
      <c r="H15" s="6"/>
      <c r="I15" s="10" t="s">
        <v>323</v>
      </c>
      <c r="J15" s="6" t="s">
        <v>321</v>
      </c>
      <c r="K15" s="19" t="s">
        <v>26</v>
      </c>
      <c r="L15" s="26" t="s">
        <v>556</v>
      </c>
    </row>
    <row r="16" spans="1:12" x14ac:dyDescent="0.35">
      <c r="A16" s="90">
        <v>8</v>
      </c>
      <c r="B16" s="5" t="s">
        <v>16</v>
      </c>
      <c r="C16" s="91" t="s">
        <v>42</v>
      </c>
      <c r="D16" s="5" t="s">
        <v>187</v>
      </c>
      <c r="E16" s="5"/>
      <c r="F16" s="6" t="s">
        <v>134</v>
      </c>
      <c r="G16" s="6" t="s">
        <v>15</v>
      </c>
      <c r="H16" s="6" t="s">
        <v>3</v>
      </c>
      <c r="I16" s="6" t="s">
        <v>333</v>
      </c>
      <c r="J16" s="6">
        <v>980</v>
      </c>
      <c r="K16" s="19" t="s">
        <v>26</v>
      </c>
      <c r="L16" s="25"/>
    </row>
    <row r="17" spans="1:12" x14ac:dyDescent="0.35">
      <c r="A17" s="90">
        <v>9</v>
      </c>
      <c r="B17" s="5" t="s">
        <v>16</v>
      </c>
      <c r="C17" s="91" t="s">
        <v>42</v>
      </c>
      <c r="D17" s="5" t="s">
        <v>187</v>
      </c>
      <c r="E17" s="5"/>
      <c r="F17" s="10" t="s">
        <v>310</v>
      </c>
      <c r="G17" s="6"/>
      <c r="H17" s="6"/>
      <c r="I17" s="6" t="s">
        <v>318</v>
      </c>
      <c r="J17" s="6" t="s">
        <v>75</v>
      </c>
      <c r="K17" s="19" t="s">
        <v>26</v>
      </c>
      <c r="L17" s="25"/>
    </row>
    <row r="18" spans="1:12" x14ac:dyDescent="0.35">
      <c r="A18" s="90">
        <v>10</v>
      </c>
      <c r="B18" s="5" t="s">
        <v>16</v>
      </c>
      <c r="C18" s="91" t="s">
        <v>42</v>
      </c>
      <c r="D18" s="5" t="s">
        <v>187</v>
      </c>
      <c r="E18" s="5"/>
      <c r="F18" s="10" t="s">
        <v>311</v>
      </c>
      <c r="G18" s="6"/>
      <c r="H18" s="6"/>
      <c r="I18" s="6" t="s">
        <v>318</v>
      </c>
      <c r="J18" s="6" t="s">
        <v>80</v>
      </c>
      <c r="K18" s="19" t="s">
        <v>26</v>
      </c>
      <c r="L18" s="25"/>
    </row>
    <row r="19" spans="1:12" ht="17.5" x14ac:dyDescent="0.35">
      <c r="A19" s="90">
        <v>11</v>
      </c>
      <c r="B19" s="5" t="s">
        <v>16</v>
      </c>
      <c r="C19" s="91" t="s">
        <v>42</v>
      </c>
      <c r="D19" s="5" t="s">
        <v>187</v>
      </c>
      <c r="E19" s="5"/>
      <c r="F19" s="10" t="s">
        <v>123</v>
      </c>
      <c r="G19" s="6" t="s">
        <v>557</v>
      </c>
      <c r="H19" s="6" t="s">
        <v>4</v>
      </c>
      <c r="I19" s="6" t="s">
        <v>333</v>
      </c>
      <c r="J19" s="6">
        <v>170</v>
      </c>
      <c r="K19" s="19" t="s">
        <v>26</v>
      </c>
      <c r="L19" s="25"/>
    </row>
    <row r="20" spans="1:12" ht="46.5" x14ac:dyDescent="0.35">
      <c r="A20" s="90">
        <v>12</v>
      </c>
      <c r="B20" s="5" t="s">
        <v>16</v>
      </c>
      <c r="C20" s="91" t="s">
        <v>42</v>
      </c>
      <c r="D20" s="5" t="s">
        <v>187</v>
      </c>
      <c r="E20" s="5"/>
      <c r="F20" s="6" t="s">
        <v>116</v>
      </c>
      <c r="G20" s="6"/>
      <c r="H20" s="6"/>
      <c r="I20" s="6" t="s">
        <v>318</v>
      </c>
      <c r="J20" s="6" t="s">
        <v>380</v>
      </c>
      <c r="K20" s="19" t="s">
        <v>26</v>
      </c>
      <c r="L20" s="25"/>
    </row>
    <row r="21" spans="1:12" x14ac:dyDescent="0.35">
      <c r="A21" s="90">
        <v>13</v>
      </c>
      <c r="B21" s="5" t="s">
        <v>16</v>
      </c>
      <c r="C21" s="91" t="s">
        <v>42</v>
      </c>
      <c r="D21" s="5" t="s">
        <v>187</v>
      </c>
      <c r="E21" s="5"/>
      <c r="F21" s="10" t="s">
        <v>408</v>
      </c>
      <c r="G21" s="6"/>
      <c r="H21" s="6"/>
      <c r="I21" s="6" t="s">
        <v>318</v>
      </c>
      <c r="J21" s="6" t="s">
        <v>76</v>
      </c>
      <c r="K21" s="19" t="s">
        <v>26</v>
      </c>
      <c r="L21" s="25"/>
    </row>
    <row r="22" spans="1:12" x14ac:dyDescent="0.35">
      <c r="A22" s="90">
        <v>14</v>
      </c>
      <c r="B22" s="5" t="s">
        <v>16</v>
      </c>
      <c r="C22" s="91" t="s">
        <v>42</v>
      </c>
      <c r="D22" s="5" t="s">
        <v>187</v>
      </c>
      <c r="E22" s="5"/>
      <c r="F22" s="10" t="s">
        <v>409</v>
      </c>
      <c r="G22" s="6"/>
      <c r="H22" s="6"/>
      <c r="I22" s="6" t="s">
        <v>333</v>
      </c>
      <c r="J22" s="6"/>
      <c r="K22" s="19" t="s">
        <v>26</v>
      </c>
      <c r="L22" s="25"/>
    </row>
    <row r="23" spans="1:12" s="7" customFormat="1" x14ac:dyDescent="0.35">
      <c r="A23" s="90">
        <v>15</v>
      </c>
      <c r="B23" s="5" t="s">
        <v>16</v>
      </c>
      <c r="C23" s="91" t="s">
        <v>42</v>
      </c>
      <c r="D23" s="5" t="s">
        <v>187</v>
      </c>
      <c r="E23" s="91"/>
      <c r="F23" s="6" t="s">
        <v>177</v>
      </c>
      <c r="G23" s="6"/>
      <c r="H23" s="6"/>
      <c r="I23" s="6" t="s">
        <v>318</v>
      </c>
      <c r="J23" s="6" t="s">
        <v>178</v>
      </c>
      <c r="K23" s="19" t="s">
        <v>26</v>
      </c>
      <c r="L23" s="30"/>
    </row>
    <row r="24" spans="1:12" x14ac:dyDescent="0.35">
      <c r="A24" s="90">
        <v>16</v>
      </c>
      <c r="B24" s="5" t="s">
        <v>16</v>
      </c>
      <c r="C24" s="91" t="s">
        <v>42</v>
      </c>
      <c r="D24" s="5" t="s">
        <v>187</v>
      </c>
      <c r="E24" s="5"/>
      <c r="F24" s="10" t="s">
        <v>124</v>
      </c>
      <c r="G24" s="6"/>
      <c r="H24" s="6" t="s">
        <v>0</v>
      </c>
      <c r="I24" s="6" t="s">
        <v>333</v>
      </c>
      <c r="J24" s="95" t="s">
        <v>97</v>
      </c>
      <c r="K24" s="19" t="s">
        <v>79</v>
      </c>
      <c r="L24" s="25"/>
    </row>
    <row r="25" spans="1:12" x14ac:dyDescent="0.35">
      <c r="A25" s="90">
        <v>17</v>
      </c>
      <c r="B25" s="5" t="s">
        <v>16</v>
      </c>
      <c r="C25" s="91" t="s">
        <v>42</v>
      </c>
      <c r="D25" s="5" t="s">
        <v>187</v>
      </c>
      <c r="E25" s="5"/>
      <c r="F25" s="10" t="s">
        <v>188</v>
      </c>
      <c r="G25" s="6"/>
      <c r="H25" s="6" t="s">
        <v>0</v>
      </c>
      <c r="I25" s="6" t="s">
        <v>333</v>
      </c>
      <c r="J25" s="10" t="s">
        <v>143</v>
      </c>
      <c r="K25" s="19" t="s">
        <v>26</v>
      </c>
      <c r="L25" s="25"/>
    </row>
    <row r="26" spans="1:12" x14ac:dyDescent="0.35">
      <c r="A26" s="90">
        <v>18</v>
      </c>
      <c r="B26" s="5" t="s">
        <v>16</v>
      </c>
      <c r="C26" s="91" t="s">
        <v>42</v>
      </c>
      <c r="D26" s="93" t="s">
        <v>187</v>
      </c>
      <c r="E26" s="93"/>
      <c r="F26" s="13" t="s">
        <v>131</v>
      </c>
      <c r="G26" s="87"/>
      <c r="H26" s="87"/>
      <c r="I26" s="87" t="s">
        <v>320</v>
      </c>
      <c r="J26" s="87"/>
      <c r="K26" s="22" t="s">
        <v>79</v>
      </c>
      <c r="L26" s="124"/>
    </row>
    <row r="27" spans="1:12" x14ac:dyDescent="0.35">
      <c r="A27" s="90">
        <v>19</v>
      </c>
      <c r="B27" s="5" t="s">
        <v>16</v>
      </c>
      <c r="C27" s="91" t="s">
        <v>42</v>
      </c>
      <c r="D27" s="5" t="s">
        <v>64</v>
      </c>
      <c r="E27" s="5"/>
      <c r="F27" s="6" t="s">
        <v>65</v>
      </c>
      <c r="G27" s="6"/>
      <c r="H27" s="6"/>
      <c r="I27" s="6" t="s">
        <v>318</v>
      </c>
      <c r="J27" s="6" t="s">
        <v>66</v>
      </c>
      <c r="K27" s="19" t="s">
        <v>79</v>
      </c>
      <c r="L27" s="25"/>
    </row>
    <row r="28" spans="1:12" x14ac:dyDescent="0.35">
      <c r="A28" s="90">
        <v>20</v>
      </c>
      <c r="B28" s="5" t="s">
        <v>16</v>
      </c>
      <c r="C28" s="91" t="s">
        <v>42</v>
      </c>
      <c r="D28" s="5" t="s">
        <v>64</v>
      </c>
      <c r="E28" s="5"/>
      <c r="F28" s="6" t="s">
        <v>69</v>
      </c>
      <c r="G28" s="6"/>
      <c r="H28" s="6"/>
      <c r="I28" s="10" t="s">
        <v>326</v>
      </c>
      <c r="J28" s="96" t="s">
        <v>67</v>
      </c>
      <c r="K28" s="19" t="s">
        <v>79</v>
      </c>
      <c r="L28" s="25"/>
    </row>
    <row r="29" spans="1:12" x14ac:dyDescent="0.35">
      <c r="A29" s="90">
        <v>21</v>
      </c>
      <c r="B29" s="5" t="s">
        <v>16</v>
      </c>
      <c r="C29" s="91" t="s">
        <v>42</v>
      </c>
      <c r="D29" s="5" t="s">
        <v>64</v>
      </c>
      <c r="E29" s="5"/>
      <c r="F29" s="6" t="s">
        <v>70</v>
      </c>
      <c r="G29" s="6"/>
      <c r="H29" s="6"/>
      <c r="I29" s="6" t="s">
        <v>320</v>
      </c>
      <c r="J29" s="6" t="s">
        <v>410</v>
      </c>
      <c r="K29" s="19" t="s">
        <v>79</v>
      </c>
      <c r="L29" s="25"/>
    </row>
    <row r="30" spans="1:12" x14ac:dyDescent="0.35">
      <c r="A30" s="90">
        <v>22</v>
      </c>
      <c r="B30" s="5" t="s">
        <v>16</v>
      </c>
      <c r="C30" s="91" t="s">
        <v>42</v>
      </c>
      <c r="D30" s="5" t="s">
        <v>64</v>
      </c>
      <c r="E30" s="5"/>
      <c r="F30" s="6" t="s">
        <v>71</v>
      </c>
      <c r="G30" s="6"/>
      <c r="H30" s="6"/>
      <c r="I30" s="10" t="s">
        <v>326</v>
      </c>
      <c r="J30" s="96" t="s">
        <v>68</v>
      </c>
      <c r="K30" s="19" t="s">
        <v>79</v>
      </c>
      <c r="L30" s="25"/>
    </row>
    <row r="31" spans="1:12" x14ac:dyDescent="0.35">
      <c r="A31" s="90">
        <v>23</v>
      </c>
      <c r="B31" s="5" t="s">
        <v>16</v>
      </c>
      <c r="C31" s="91" t="s">
        <v>42</v>
      </c>
      <c r="D31" s="5" t="s">
        <v>64</v>
      </c>
      <c r="E31" s="5"/>
      <c r="F31" s="6" t="s">
        <v>72</v>
      </c>
      <c r="G31" s="6"/>
      <c r="H31" s="6"/>
      <c r="I31" s="6" t="s">
        <v>320</v>
      </c>
      <c r="J31" s="6" t="s">
        <v>73</v>
      </c>
      <c r="K31" s="19" t="s">
        <v>79</v>
      </c>
      <c r="L31" s="25"/>
    </row>
    <row r="32" spans="1:12" x14ac:dyDescent="0.35">
      <c r="A32" s="90">
        <v>24</v>
      </c>
      <c r="B32" s="5" t="s">
        <v>16</v>
      </c>
      <c r="C32" s="91" t="s">
        <v>42</v>
      </c>
      <c r="D32" s="5" t="s">
        <v>64</v>
      </c>
      <c r="E32" s="5"/>
      <c r="F32" s="6" t="s">
        <v>81</v>
      </c>
      <c r="G32" s="6"/>
      <c r="H32" s="6"/>
      <c r="I32" s="10" t="s">
        <v>326</v>
      </c>
      <c r="J32" s="96"/>
      <c r="K32" s="19" t="s">
        <v>79</v>
      </c>
      <c r="L32" s="25"/>
    </row>
    <row r="33" spans="1:12" x14ac:dyDescent="0.35">
      <c r="A33" s="90">
        <v>25</v>
      </c>
      <c r="B33" s="5" t="s">
        <v>16</v>
      </c>
      <c r="C33" s="91" t="s">
        <v>42</v>
      </c>
      <c r="D33" s="5" t="s">
        <v>64</v>
      </c>
      <c r="E33" s="5"/>
      <c r="F33" s="6" t="s">
        <v>82</v>
      </c>
      <c r="G33" s="6"/>
      <c r="H33" s="6"/>
      <c r="I33" s="6" t="s">
        <v>320</v>
      </c>
      <c r="J33" s="87"/>
      <c r="K33" s="22" t="s">
        <v>79</v>
      </c>
      <c r="L33" s="22"/>
    </row>
    <row r="34" spans="1:12" x14ac:dyDescent="0.35">
      <c r="A34" s="90">
        <v>26</v>
      </c>
      <c r="B34" s="5" t="s">
        <v>16</v>
      </c>
      <c r="C34" s="97" t="s">
        <v>294</v>
      </c>
      <c r="D34" s="97" t="s">
        <v>58</v>
      </c>
      <c r="E34" s="98"/>
      <c r="F34" s="99" t="s">
        <v>312</v>
      </c>
      <c r="G34" s="100"/>
      <c r="H34" s="100"/>
      <c r="I34" s="101" t="s">
        <v>323</v>
      </c>
      <c r="J34" s="100" t="s">
        <v>322</v>
      </c>
      <c r="K34" s="18" t="s">
        <v>26</v>
      </c>
      <c r="L34" s="70"/>
    </row>
    <row r="35" spans="1:12" ht="31" x14ac:dyDescent="0.35">
      <c r="A35" s="90">
        <v>27</v>
      </c>
      <c r="B35" s="5" t="s">
        <v>16</v>
      </c>
      <c r="C35" s="91" t="s">
        <v>294</v>
      </c>
      <c r="D35" s="91" t="s">
        <v>58</v>
      </c>
      <c r="E35" s="10" t="s">
        <v>295</v>
      </c>
      <c r="F35" s="102" t="s">
        <v>147</v>
      </c>
      <c r="G35" s="100"/>
      <c r="H35" s="100"/>
      <c r="I35" s="100" t="s">
        <v>411</v>
      </c>
      <c r="J35" s="100" t="s">
        <v>558</v>
      </c>
      <c r="K35" s="18" t="s">
        <v>79</v>
      </c>
      <c r="L35" s="27"/>
    </row>
    <row r="36" spans="1:12" s="7" customFormat="1" ht="31" x14ac:dyDescent="0.35">
      <c r="A36" s="90">
        <v>28</v>
      </c>
      <c r="B36" s="5" t="s">
        <v>16</v>
      </c>
      <c r="C36" s="91" t="s">
        <v>294</v>
      </c>
      <c r="D36" s="91" t="s">
        <v>58</v>
      </c>
      <c r="E36" s="10" t="s">
        <v>295</v>
      </c>
      <c r="F36" s="10" t="s">
        <v>324</v>
      </c>
      <c r="G36" s="6"/>
      <c r="H36" s="10"/>
      <c r="I36" s="6" t="s">
        <v>320</v>
      </c>
      <c r="J36" s="6" t="s">
        <v>325</v>
      </c>
      <c r="K36" s="19" t="s">
        <v>26</v>
      </c>
      <c r="L36" s="27"/>
    </row>
    <row r="37" spans="1:12" s="7" customFormat="1" ht="31" x14ac:dyDescent="0.35">
      <c r="A37" s="90">
        <v>29</v>
      </c>
      <c r="B37" s="5" t="s">
        <v>16</v>
      </c>
      <c r="C37" s="91" t="s">
        <v>294</v>
      </c>
      <c r="D37" s="91" t="s">
        <v>58</v>
      </c>
      <c r="E37" s="10" t="s">
        <v>295</v>
      </c>
      <c r="F37" s="10" t="s">
        <v>303</v>
      </c>
      <c r="G37" s="6"/>
      <c r="H37" s="10"/>
      <c r="I37" s="10" t="s">
        <v>388</v>
      </c>
      <c r="J37" s="6" t="s">
        <v>389</v>
      </c>
      <c r="K37" s="19" t="s">
        <v>26</v>
      </c>
      <c r="L37" s="27"/>
    </row>
    <row r="38" spans="1:12" ht="46.5" x14ac:dyDescent="0.35">
      <c r="A38" s="90">
        <v>30</v>
      </c>
      <c r="B38" s="5" t="s">
        <v>16</v>
      </c>
      <c r="C38" s="91" t="s">
        <v>294</v>
      </c>
      <c r="D38" s="91" t="s">
        <v>58</v>
      </c>
      <c r="E38" s="10" t="s">
        <v>295</v>
      </c>
      <c r="F38" s="10" t="s">
        <v>304</v>
      </c>
      <c r="G38" s="6"/>
      <c r="H38" s="6"/>
      <c r="I38" s="6" t="s">
        <v>320</v>
      </c>
      <c r="J38" s="6" t="s">
        <v>396</v>
      </c>
      <c r="K38" s="19" t="s">
        <v>79</v>
      </c>
      <c r="L38" s="27"/>
    </row>
    <row r="39" spans="1:12" x14ac:dyDescent="0.35">
      <c r="A39" s="90">
        <v>31</v>
      </c>
      <c r="B39" s="5" t="s">
        <v>16</v>
      </c>
      <c r="C39" s="91" t="s">
        <v>294</v>
      </c>
      <c r="D39" s="91" t="s">
        <v>58</v>
      </c>
      <c r="E39" s="10" t="s">
        <v>295</v>
      </c>
      <c r="F39" s="10" t="s">
        <v>83</v>
      </c>
      <c r="G39" s="6"/>
      <c r="H39" s="6" t="s">
        <v>85</v>
      </c>
      <c r="I39" s="6" t="s">
        <v>333</v>
      </c>
      <c r="J39" s="6"/>
      <c r="K39" s="19" t="s">
        <v>79</v>
      </c>
      <c r="L39" s="27"/>
    </row>
    <row r="40" spans="1:12" x14ac:dyDescent="0.35">
      <c r="A40" s="90">
        <v>32</v>
      </c>
      <c r="B40" s="5" t="s">
        <v>16</v>
      </c>
      <c r="C40" s="91" t="s">
        <v>294</v>
      </c>
      <c r="D40" s="91" t="s">
        <v>58</v>
      </c>
      <c r="E40" s="10" t="s">
        <v>295</v>
      </c>
      <c r="F40" s="10" t="s">
        <v>84</v>
      </c>
      <c r="G40" s="6"/>
      <c r="H40" s="6"/>
      <c r="I40" s="6" t="s">
        <v>333</v>
      </c>
      <c r="J40" s="6"/>
      <c r="K40" s="19" t="s">
        <v>79</v>
      </c>
      <c r="L40" s="27"/>
    </row>
    <row r="41" spans="1:12" x14ac:dyDescent="0.35">
      <c r="A41" s="90">
        <v>33</v>
      </c>
      <c r="B41" s="5" t="s">
        <v>16</v>
      </c>
      <c r="C41" s="91" t="s">
        <v>294</v>
      </c>
      <c r="D41" s="91" t="s">
        <v>58</v>
      </c>
      <c r="E41" s="10" t="s">
        <v>295</v>
      </c>
      <c r="F41" s="10" t="s">
        <v>61</v>
      </c>
      <c r="G41" s="6"/>
      <c r="H41" s="6"/>
      <c r="I41" s="6" t="s">
        <v>318</v>
      </c>
      <c r="J41" s="6" t="s">
        <v>559</v>
      </c>
      <c r="K41" s="19" t="s">
        <v>26</v>
      </c>
      <c r="L41" s="27"/>
    </row>
    <row r="42" spans="1:12" ht="39" customHeight="1" x14ac:dyDescent="0.35">
      <c r="A42" s="90">
        <v>34</v>
      </c>
      <c r="B42" s="5" t="s">
        <v>16</v>
      </c>
      <c r="C42" s="91" t="s">
        <v>294</v>
      </c>
      <c r="D42" s="91" t="s">
        <v>58</v>
      </c>
      <c r="E42" s="10" t="s">
        <v>295</v>
      </c>
      <c r="F42" s="13" t="s">
        <v>56</v>
      </c>
      <c r="G42" s="6"/>
      <c r="H42" s="6"/>
      <c r="I42" s="6" t="s">
        <v>318</v>
      </c>
      <c r="J42" s="6" t="s">
        <v>284</v>
      </c>
      <c r="K42" s="22" t="s">
        <v>26</v>
      </c>
      <c r="L42" s="32"/>
    </row>
    <row r="43" spans="1:12" s="7" customFormat="1" x14ac:dyDescent="0.35">
      <c r="A43" s="90">
        <v>35</v>
      </c>
      <c r="B43" s="5" t="s">
        <v>16</v>
      </c>
      <c r="C43" s="91" t="s">
        <v>294</v>
      </c>
      <c r="D43" s="91" t="s">
        <v>58</v>
      </c>
      <c r="E43" s="97" t="s">
        <v>412</v>
      </c>
      <c r="F43" s="10" t="s">
        <v>77</v>
      </c>
      <c r="G43" s="100"/>
      <c r="H43" s="102"/>
      <c r="I43" s="102" t="s">
        <v>323</v>
      </c>
      <c r="J43" s="100" t="s">
        <v>383</v>
      </c>
      <c r="K43" s="19" t="s">
        <v>26</v>
      </c>
      <c r="L43" s="27"/>
    </row>
    <row r="44" spans="1:12" s="7" customFormat="1" ht="46.5" x14ac:dyDescent="0.35">
      <c r="A44" s="90">
        <v>36</v>
      </c>
      <c r="B44" s="5" t="s">
        <v>16</v>
      </c>
      <c r="C44" s="91" t="s">
        <v>294</v>
      </c>
      <c r="D44" s="91" t="s">
        <v>58</v>
      </c>
      <c r="E44" s="91" t="s">
        <v>412</v>
      </c>
      <c r="F44" s="10" t="s">
        <v>560</v>
      </c>
      <c r="G44" s="6"/>
      <c r="H44" s="10"/>
      <c r="I44" s="10" t="s">
        <v>388</v>
      </c>
      <c r="J44" s="6" t="s">
        <v>413</v>
      </c>
      <c r="K44" s="19" t="s">
        <v>26</v>
      </c>
      <c r="L44" s="27"/>
    </row>
    <row r="45" spans="1:12" s="7" customFormat="1" ht="46.5" x14ac:dyDescent="0.35">
      <c r="A45" s="90">
        <v>37</v>
      </c>
      <c r="B45" s="5" t="s">
        <v>16</v>
      </c>
      <c r="C45" s="91" t="s">
        <v>294</v>
      </c>
      <c r="D45" s="91" t="s">
        <v>58</v>
      </c>
      <c r="E45" s="91" t="s">
        <v>412</v>
      </c>
      <c r="F45" s="10" t="s">
        <v>305</v>
      </c>
      <c r="G45" s="6"/>
      <c r="H45" s="10"/>
      <c r="I45" s="6" t="s">
        <v>320</v>
      </c>
      <c r="J45" s="6" t="s">
        <v>397</v>
      </c>
      <c r="K45" s="19" t="s">
        <v>26</v>
      </c>
      <c r="L45" s="27"/>
    </row>
    <row r="46" spans="1:12" s="7" customFormat="1" x14ac:dyDescent="0.35">
      <c r="A46" s="90">
        <v>38</v>
      </c>
      <c r="B46" s="5" t="s">
        <v>16</v>
      </c>
      <c r="C46" s="91" t="s">
        <v>294</v>
      </c>
      <c r="D46" s="91" t="s">
        <v>58</v>
      </c>
      <c r="E46" s="91" t="s">
        <v>412</v>
      </c>
      <c r="F46" s="10" t="s">
        <v>128</v>
      </c>
      <c r="G46" s="6"/>
      <c r="H46" s="10"/>
      <c r="I46" s="10" t="s">
        <v>319</v>
      </c>
      <c r="J46" s="6"/>
      <c r="K46" s="19" t="s">
        <v>26</v>
      </c>
      <c r="L46" s="27"/>
    </row>
    <row r="47" spans="1:12" s="7" customFormat="1" x14ac:dyDescent="0.35">
      <c r="A47" s="90">
        <v>39</v>
      </c>
      <c r="B47" s="5" t="s">
        <v>16</v>
      </c>
      <c r="C47" s="91" t="s">
        <v>294</v>
      </c>
      <c r="D47" s="91" t="s">
        <v>58</v>
      </c>
      <c r="E47" s="91" t="s">
        <v>412</v>
      </c>
      <c r="F47" s="10" t="s">
        <v>129</v>
      </c>
      <c r="G47" s="6"/>
      <c r="H47" s="10"/>
      <c r="I47" s="10" t="s">
        <v>323</v>
      </c>
      <c r="J47" s="6" t="s">
        <v>78</v>
      </c>
      <c r="K47" s="19" t="s">
        <v>79</v>
      </c>
      <c r="L47" s="27"/>
    </row>
    <row r="48" spans="1:12" s="7" customFormat="1" x14ac:dyDescent="0.35">
      <c r="A48" s="90">
        <v>40</v>
      </c>
      <c r="B48" s="5" t="s">
        <v>16</v>
      </c>
      <c r="C48" s="91" t="s">
        <v>294</v>
      </c>
      <c r="D48" s="91" t="s">
        <v>58</v>
      </c>
      <c r="E48" s="103" t="s">
        <v>412</v>
      </c>
      <c r="F48" s="13" t="s">
        <v>130</v>
      </c>
      <c r="G48" s="87"/>
      <c r="H48" s="13"/>
      <c r="I48" s="10" t="s">
        <v>323</v>
      </c>
      <c r="J48" s="87"/>
      <c r="K48" s="22" t="s">
        <v>79</v>
      </c>
      <c r="L48" s="69"/>
    </row>
    <row r="49" spans="1:12" x14ac:dyDescent="0.35">
      <c r="A49" s="90">
        <v>41</v>
      </c>
      <c r="B49" s="5" t="s">
        <v>16</v>
      </c>
      <c r="C49" s="91" t="s">
        <v>294</v>
      </c>
      <c r="D49" s="91" t="s">
        <v>58</v>
      </c>
      <c r="E49" s="97" t="s">
        <v>21</v>
      </c>
      <c r="F49" s="102" t="s">
        <v>117</v>
      </c>
      <c r="G49" s="100"/>
      <c r="H49" s="100"/>
      <c r="I49" s="100" t="s">
        <v>318</v>
      </c>
      <c r="J49" s="100" t="s">
        <v>561</v>
      </c>
      <c r="K49" s="18" t="s">
        <v>26</v>
      </c>
      <c r="L49" s="27" t="s">
        <v>562</v>
      </c>
    </row>
    <row r="50" spans="1:12" s="7" customFormat="1" x14ac:dyDescent="0.35">
      <c r="A50" s="90">
        <v>42</v>
      </c>
      <c r="B50" s="5" t="s">
        <v>16</v>
      </c>
      <c r="C50" s="91" t="s">
        <v>294</v>
      </c>
      <c r="D50" s="91" t="s">
        <v>58</v>
      </c>
      <c r="E50" s="91" t="s">
        <v>21</v>
      </c>
      <c r="F50" s="10" t="s">
        <v>87</v>
      </c>
      <c r="G50" s="6"/>
      <c r="H50" s="10"/>
      <c r="I50" s="6" t="s">
        <v>318</v>
      </c>
      <c r="J50" s="6" t="s">
        <v>89</v>
      </c>
      <c r="K50" s="19" t="s">
        <v>79</v>
      </c>
      <c r="L50" s="27"/>
    </row>
    <row r="51" spans="1:12" s="7" customFormat="1" x14ac:dyDescent="0.35">
      <c r="A51" s="90">
        <v>43</v>
      </c>
      <c r="B51" s="5" t="s">
        <v>16</v>
      </c>
      <c r="C51" s="91" t="s">
        <v>294</v>
      </c>
      <c r="D51" s="91" t="s">
        <v>58</v>
      </c>
      <c r="E51" s="91" t="s">
        <v>21</v>
      </c>
      <c r="F51" s="10" t="s">
        <v>88</v>
      </c>
      <c r="G51" s="6"/>
      <c r="H51" s="10"/>
      <c r="I51" s="6" t="s">
        <v>318</v>
      </c>
      <c r="J51" s="6" t="s">
        <v>89</v>
      </c>
      <c r="K51" s="19" t="s">
        <v>79</v>
      </c>
      <c r="L51" s="27"/>
    </row>
    <row r="52" spans="1:12" s="7" customFormat="1" x14ac:dyDescent="0.35">
      <c r="A52" s="90">
        <v>44</v>
      </c>
      <c r="B52" s="5" t="s">
        <v>16</v>
      </c>
      <c r="C52" s="91" t="s">
        <v>294</v>
      </c>
      <c r="D52" s="91" t="s">
        <v>58</v>
      </c>
      <c r="E52" s="91" t="s">
        <v>21</v>
      </c>
      <c r="F52" s="10" t="s">
        <v>60</v>
      </c>
      <c r="G52" s="6"/>
      <c r="H52" s="10"/>
      <c r="I52" s="6" t="s">
        <v>320</v>
      </c>
      <c r="J52" s="6" t="s">
        <v>563</v>
      </c>
      <c r="K52" s="19" t="s">
        <v>79</v>
      </c>
      <c r="L52" s="27"/>
    </row>
    <row r="53" spans="1:12" ht="217.5" customHeight="1" x14ac:dyDescent="0.35">
      <c r="A53" s="90">
        <v>45</v>
      </c>
      <c r="B53" s="5" t="s">
        <v>16</v>
      </c>
      <c r="C53" s="91" t="s">
        <v>294</v>
      </c>
      <c r="D53" s="91" t="s">
        <v>58</v>
      </c>
      <c r="E53" s="91" t="s">
        <v>21</v>
      </c>
      <c r="F53" s="10" t="s">
        <v>90</v>
      </c>
      <c r="G53" s="6"/>
      <c r="H53" s="6"/>
      <c r="I53" s="10" t="s">
        <v>323</v>
      </c>
      <c r="J53" s="6" t="s">
        <v>328</v>
      </c>
      <c r="K53" s="19" t="s">
        <v>26</v>
      </c>
      <c r="L53" s="27" t="s">
        <v>564</v>
      </c>
    </row>
    <row r="54" spans="1:12" ht="61.5" customHeight="1" x14ac:dyDescent="0.35">
      <c r="A54" s="90">
        <v>46</v>
      </c>
      <c r="B54" s="5" t="s">
        <v>16</v>
      </c>
      <c r="C54" s="91" t="s">
        <v>294</v>
      </c>
      <c r="D54" s="91" t="s">
        <v>58</v>
      </c>
      <c r="E54" s="91" t="s">
        <v>21</v>
      </c>
      <c r="F54" s="10" t="s">
        <v>91</v>
      </c>
      <c r="G54" s="6"/>
      <c r="H54" s="6"/>
      <c r="I54" s="10" t="s">
        <v>323</v>
      </c>
      <c r="J54" s="6" t="s">
        <v>390</v>
      </c>
      <c r="K54" s="19" t="s">
        <v>26</v>
      </c>
      <c r="L54" s="27" t="s">
        <v>564</v>
      </c>
    </row>
    <row r="55" spans="1:12" ht="31" x14ac:dyDescent="0.35">
      <c r="A55" s="90">
        <v>47</v>
      </c>
      <c r="B55" s="5" t="s">
        <v>16</v>
      </c>
      <c r="C55" s="91" t="s">
        <v>294</v>
      </c>
      <c r="D55" s="103" t="s">
        <v>58</v>
      </c>
      <c r="E55" s="103" t="s">
        <v>21</v>
      </c>
      <c r="F55" s="13" t="s">
        <v>86</v>
      </c>
      <c r="G55" s="87"/>
      <c r="H55" s="87"/>
      <c r="I55" s="13" t="s">
        <v>414</v>
      </c>
      <c r="J55" s="87" t="s">
        <v>565</v>
      </c>
      <c r="K55" s="22" t="s">
        <v>79</v>
      </c>
      <c r="L55" s="22"/>
    </row>
    <row r="56" spans="1:12" s="7" customFormat="1" ht="46.5" x14ac:dyDescent="0.35">
      <c r="A56" s="90">
        <v>48</v>
      </c>
      <c r="B56" s="5" t="s">
        <v>16</v>
      </c>
      <c r="C56" s="91" t="s">
        <v>294</v>
      </c>
      <c r="D56" s="91" t="s">
        <v>58</v>
      </c>
      <c r="E56" s="91" t="s">
        <v>59</v>
      </c>
      <c r="F56" s="10" t="s">
        <v>95</v>
      </c>
      <c r="G56" s="6"/>
      <c r="H56" s="10" t="s">
        <v>92</v>
      </c>
      <c r="I56" s="6" t="s">
        <v>415</v>
      </c>
      <c r="J56" s="6" t="s">
        <v>329</v>
      </c>
      <c r="K56" s="19" t="s">
        <v>26</v>
      </c>
      <c r="L56" s="27"/>
    </row>
    <row r="57" spans="1:12" s="7" customFormat="1" ht="46.5" x14ac:dyDescent="0.35">
      <c r="A57" s="90">
        <v>49</v>
      </c>
      <c r="B57" s="5" t="s">
        <v>16</v>
      </c>
      <c r="C57" s="91" t="s">
        <v>294</v>
      </c>
      <c r="D57" s="91" t="s">
        <v>58</v>
      </c>
      <c r="E57" s="91" t="s">
        <v>59</v>
      </c>
      <c r="F57" s="10" t="s">
        <v>96</v>
      </c>
      <c r="G57" s="6"/>
      <c r="H57" s="10" t="s">
        <v>92</v>
      </c>
      <c r="I57" s="6" t="s">
        <v>416</v>
      </c>
      <c r="J57" s="6" t="s">
        <v>329</v>
      </c>
      <c r="K57" s="19" t="s">
        <v>26</v>
      </c>
      <c r="L57" s="27"/>
    </row>
    <row r="58" spans="1:12" s="7" customFormat="1" ht="31" x14ac:dyDescent="0.35">
      <c r="A58" s="90">
        <v>50</v>
      </c>
      <c r="B58" s="5" t="s">
        <v>16</v>
      </c>
      <c r="C58" s="91" t="s">
        <v>294</v>
      </c>
      <c r="D58" s="91" t="s">
        <v>58</v>
      </c>
      <c r="E58" s="91" t="s">
        <v>59</v>
      </c>
      <c r="F58" s="10" t="s">
        <v>149</v>
      </c>
      <c r="G58" s="6"/>
      <c r="H58" s="10"/>
      <c r="I58" s="10" t="s">
        <v>323</v>
      </c>
      <c r="J58" s="6" t="s">
        <v>394</v>
      </c>
      <c r="K58" s="19" t="s">
        <v>26</v>
      </c>
      <c r="L58" s="27"/>
    </row>
    <row r="59" spans="1:12" s="7" customFormat="1" x14ac:dyDescent="0.35">
      <c r="A59" s="90">
        <v>51</v>
      </c>
      <c r="B59" s="5" t="s">
        <v>16</v>
      </c>
      <c r="C59" s="91" t="s">
        <v>294</v>
      </c>
      <c r="D59" s="91" t="s">
        <v>58</v>
      </c>
      <c r="E59" s="91" t="s">
        <v>59</v>
      </c>
      <c r="F59" s="10" t="s">
        <v>148</v>
      </c>
      <c r="G59" s="10"/>
      <c r="H59" s="10"/>
      <c r="I59" s="10" t="s">
        <v>318</v>
      </c>
      <c r="J59" s="104" t="s">
        <v>330</v>
      </c>
      <c r="K59" s="19" t="s">
        <v>79</v>
      </c>
      <c r="L59" s="25"/>
    </row>
    <row r="60" spans="1:12" s="7" customFormat="1" ht="31" x14ac:dyDescent="0.35">
      <c r="A60" s="90">
        <v>52</v>
      </c>
      <c r="B60" s="5" t="s">
        <v>16</v>
      </c>
      <c r="C60" s="91" t="s">
        <v>294</v>
      </c>
      <c r="D60" s="91" t="s">
        <v>58</v>
      </c>
      <c r="E60" s="91" t="s">
        <v>59</v>
      </c>
      <c r="F60" s="10" t="s">
        <v>100</v>
      </c>
      <c r="G60" s="6"/>
      <c r="H60" s="10"/>
      <c r="I60" s="10" t="s">
        <v>320</v>
      </c>
      <c r="J60" s="6" t="s">
        <v>393</v>
      </c>
      <c r="K60" s="19" t="s">
        <v>79</v>
      </c>
      <c r="L60" s="27"/>
    </row>
    <row r="61" spans="1:12" s="7" customFormat="1" ht="31" x14ac:dyDescent="0.35">
      <c r="A61" s="90">
        <v>53</v>
      </c>
      <c r="B61" s="5" t="s">
        <v>16</v>
      </c>
      <c r="C61" s="91" t="s">
        <v>294</v>
      </c>
      <c r="D61" s="91" t="s">
        <v>58</v>
      </c>
      <c r="E61" s="103" t="s">
        <v>59</v>
      </c>
      <c r="F61" s="13" t="s">
        <v>101</v>
      </c>
      <c r="G61" s="87"/>
      <c r="H61" s="13"/>
      <c r="I61" s="13" t="s">
        <v>417</v>
      </c>
      <c r="J61" s="87" t="s">
        <v>566</v>
      </c>
      <c r="K61" s="22" t="s">
        <v>79</v>
      </c>
      <c r="L61" s="22"/>
    </row>
    <row r="62" spans="1:12" s="7" customFormat="1" x14ac:dyDescent="0.35">
      <c r="A62" s="90">
        <v>54</v>
      </c>
      <c r="B62" s="5" t="s">
        <v>16</v>
      </c>
      <c r="C62" s="91" t="s">
        <v>294</v>
      </c>
      <c r="D62" s="91" t="s">
        <v>58</v>
      </c>
      <c r="E62" s="91" t="s">
        <v>57</v>
      </c>
      <c r="F62" s="102" t="s">
        <v>93</v>
      </c>
      <c r="G62" s="6"/>
      <c r="H62" s="10"/>
      <c r="I62" s="10" t="s">
        <v>331</v>
      </c>
      <c r="J62" s="100" t="s">
        <v>332</v>
      </c>
      <c r="K62" s="19" t="s">
        <v>26</v>
      </c>
      <c r="L62" s="27"/>
    </row>
    <row r="63" spans="1:12" s="7" customFormat="1" ht="17" x14ac:dyDescent="0.35">
      <c r="A63" s="90">
        <v>55</v>
      </c>
      <c r="B63" s="5" t="s">
        <v>16</v>
      </c>
      <c r="C63" s="91" t="s">
        <v>294</v>
      </c>
      <c r="D63" s="91" t="s">
        <v>58</v>
      </c>
      <c r="E63" s="91" t="s">
        <v>57</v>
      </c>
      <c r="F63" s="10" t="s">
        <v>104</v>
      </c>
      <c r="G63" s="6"/>
      <c r="H63" s="10" t="s">
        <v>51</v>
      </c>
      <c r="I63" s="10" t="s">
        <v>333</v>
      </c>
      <c r="J63" s="105">
        <v>50</v>
      </c>
      <c r="K63" s="19" t="s">
        <v>26</v>
      </c>
      <c r="L63" s="27"/>
    </row>
    <row r="64" spans="1:12" s="7" customFormat="1" x14ac:dyDescent="0.35">
      <c r="A64" s="90">
        <v>56</v>
      </c>
      <c r="B64" s="5" t="s">
        <v>16</v>
      </c>
      <c r="C64" s="91" t="s">
        <v>294</v>
      </c>
      <c r="D64" s="91" t="s">
        <v>58</v>
      </c>
      <c r="E64" s="91" t="s">
        <v>57</v>
      </c>
      <c r="F64" s="104" t="s">
        <v>418</v>
      </c>
      <c r="G64" s="104"/>
      <c r="H64" s="104"/>
      <c r="I64" s="10" t="s">
        <v>323</v>
      </c>
      <c r="J64" s="104" t="s">
        <v>334</v>
      </c>
      <c r="K64" s="19" t="s">
        <v>26</v>
      </c>
      <c r="L64" s="27"/>
    </row>
    <row r="65" spans="1:12" s="7" customFormat="1" ht="31" x14ac:dyDescent="0.35">
      <c r="A65" s="90">
        <v>57</v>
      </c>
      <c r="B65" s="5" t="s">
        <v>16</v>
      </c>
      <c r="C65" s="91" t="s">
        <v>294</v>
      </c>
      <c r="D65" s="91" t="s">
        <v>58</v>
      </c>
      <c r="E65" s="91" t="s">
        <v>57</v>
      </c>
      <c r="F65" s="10" t="s">
        <v>103</v>
      </c>
      <c r="G65" s="6"/>
      <c r="H65" s="10"/>
      <c r="I65" s="10" t="s">
        <v>417</v>
      </c>
      <c r="J65" s="106" t="s">
        <v>567</v>
      </c>
      <c r="K65" s="19" t="s">
        <v>79</v>
      </c>
      <c r="L65" s="27"/>
    </row>
    <row r="66" spans="1:12" s="7" customFormat="1" ht="31" x14ac:dyDescent="0.35">
      <c r="A66" s="90">
        <v>58</v>
      </c>
      <c r="B66" s="5" t="s">
        <v>16</v>
      </c>
      <c r="C66" s="91" t="s">
        <v>294</v>
      </c>
      <c r="D66" s="91" t="s">
        <v>58</v>
      </c>
      <c r="E66" s="91" t="s">
        <v>57</v>
      </c>
      <c r="F66" s="10" t="s">
        <v>125</v>
      </c>
      <c r="G66" s="6"/>
      <c r="H66" s="10" t="s">
        <v>1</v>
      </c>
      <c r="I66" s="10" t="s">
        <v>323</v>
      </c>
      <c r="J66" s="106" t="s">
        <v>94</v>
      </c>
      <c r="K66" s="19" t="s">
        <v>79</v>
      </c>
      <c r="L66" s="27"/>
    </row>
    <row r="67" spans="1:12" s="7" customFormat="1" x14ac:dyDescent="0.35">
      <c r="A67" s="90">
        <v>59</v>
      </c>
      <c r="B67" s="5" t="s">
        <v>16</v>
      </c>
      <c r="C67" s="91" t="s">
        <v>294</v>
      </c>
      <c r="D67" s="91" t="s">
        <v>58</v>
      </c>
      <c r="E67" s="91" t="s">
        <v>57</v>
      </c>
      <c r="F67" s="10" t="s">
        <v>62</v>
      </c>
      <c r="G67" s="6"/>
      <c r="H67" s="10" t="s">
        <v>51</v>
      </c>
      <c r="I67" s="10" t="s">
        <v>333</v>
      </c>
      <c r="J67" s="6" t="s">
        <v>98</v>
      </c>
      <c r="K67" s="19" t="s">
        <v>79</v>
      </c>
      <c r="L67" s="27"/>
    </row>
    <row r="68" spans="1:12" s="7" customFormat="1" x14ac:dyDescent="0.35">
      <c r="A68" s="90">
        <v>60</v>
      </c>
      <c r="B68" s="5" t="s">
        <v>16</v>
      </c>
      <c r="C68" s="91" t="s">
        <v>294</v>
      </c>
      <c r="D68" s="91" t="s">
        <v>58</v>
      </c>
      <c r="E68" s="91" t="s">
        <v>57</v>
      </c>
      <c r="F68" s="10" t="s">
        <v>63</v>
      </c>
      <c r="G68" s="6"/>
      <c r="H68" s="10" t="s">
        <v>51</v>
      </c>
      <c r="I68" s="10" t="s">
        <v>333</v>
      </c>
      <c r="J68" s="66" t="s">
        <v>99</v>
      </c>
      <c r="K68" s="19" t="s">
        <v>79</v>
      </c>
      <c r="L68" s="27"/>
    </row>
    <row r="69" spans="1:12" s="7" customFormat="1" ht="31" x14ac:dyDescent="0.35">
      <c r="A69" s="90">
        <v>61</v>
      </c>
      <c r="B69" s="5" t="s">
        <v>16</v>
      </c>
      <c r="C69" s="91" t="s">
        <v>294</v>
      </c>
      <c r="D69" s="91" t="s">
        <v>58</v>
      </c>
      <c r="E69" s="91" t="s">
        <v>57</v>
      </c>
      <c r="F69" s="10" t="s">
        <v>126</v>
      </c>
      <c r="G69" s="6"/>
      <c r="H69" s="10"/>
      <c r="I69" s="10" t="s">
        <v>411</v>
      </c>
      <c r="J69" s="6" t="s">
        <v>568</v>
      </c>
      <c r="K69" s="19" t="s">
        <v>79</v>
      </c>
      <c r="L69" s="27"/>
    </row>
    <row r="70" spans="1:12" s="7" customFormat="1" ht="31" x14ac:dyDescent="0.35">
      <c r="A70" s="90">
        <v>62</v>
      </c>
      <c r="B70" s="5" t="s">
        <v>16</v>
      </c>
      <c r="C70" s="91" t="s">
        <v>294</v>
      </c>
      <c r="D70" s="91" t="s">
        <v>58</v>
      </c>
      <c r="E70" s="91" t="s">
        <v>57</v>
      </c>
      <c r="F70" s="10" t="s">
        <v>52</v>
      </c>
      <c r="G70" s="6"/>
      <c r="H70" s="10"/>
      <c r="I70" s="10"/>
      <c r="J70" s="6"/>
      <c r="K70" s="19" t="s">
        <v>79</v>
      </c>
      <c r="L70" s="27" t="s">
        <v>569</v>
      </c>
    </row>
    <row r="71" spans="1:12" s="7" customFormat="1" ht="31" x14ac:dyDescent="0.35">
      <c r="A71" s="90">
        <v>63</v>
      </c>
      <c r="B71" s="5" t="s">
        <v>16</v>
      </c>
      <c r="C71" s="91" t="s">
        <v>294</v>
      </c>
      <c r="D71" s="91" t="s">
        <v>58</v>
      </c>
      <c r="E71" s="91" t="s">
        <v>57</v>
      </c>
      <c r="F71" s="10" t="s">
        <v>189</v>
      </c>
      <c r="G71" s="6"/>
      <c r="H71" s="10"/>
      <c r="I71" s="10" t="s">
        <v>417</v>
      </c>
      <c r="J71" s="10" t="s">
        <v>570</v>
      </c>
      <c r="K71" s="19" t="s">
        <v>79</v>
      </c>
      <c r="L71" s="27"/>
    </row>
    <row r="72" spans="1:12" s="7" customFormat="1" ht="31" x14ac:dyDescent="0.35">
      <c r="A72" s="90">
        <v>64</v>
      </c>
      <c r="B72" s="5" t="s">
        <v>16</v>
      </c>
      <c r="C72" s="91" t="s">
        <v>294</v>
      </c>
      <c r="D72" s="91" t="s">
        <v>58</v>
      </c>
      <c r="E72" s="91" t="s">
        <v>57</v>
      </c>
      <c r="F72" s="10" t="s">
        <v>190</v>
      </c>
      <c r="G72" s="6"/>
      <c r="H72" s="10"/>
      <c r="I72" s="10" t="s">
        <v>417</v>
      </c>
      <c r="J72" s="10" t="s">
        <v>570</v>
      </c>
      <c r="K72" s="19" t="s">
        <v>79</v>
      </c>
      <c r="L72" s="27"/>
    </row>
    <row r="73" spans="1:12" s="7" customFormat="1" ht="31" x14ac:dyDescent="0.35">
      <c r="A73" s="90">
        <v>65</v>
      </c>
      <c r="B73" s="5" t="s">
        <v>16</v>
      </c>
      <c r="C73" s="91" t="s">
        <v>294</v>
      </c>
      <c r="D73" s="91" t="s">
        <v>58</v>
      </c>
      <c r="E73" s="91" t="s">
        <v>57</v>
      </c>
      <c r="F73" s="10" t="s">
        <v>382</v>
      </c>
      <c r="G73" s="6"/>
      <c r="H73" s="10"/>
      <c r="I73" s="10" t="s">
        <v>417</v>
      </c>
      <c r="J73" s="6" t="s">
        <v>335</v>
      </c>
      <c r="K73" s="19" t="s">
        <v>79</v>
      </c>
      <c r="L73" s="27"/>
    </row>
    <row r="74" spans="1:12" s="7" customFormat="1" ht="46.5" x14ac:dyDescent="0.35">
      <c r="A74" s="90">
        <v>66</v>
      </c>
      <c r="B74" s="5" t="s">
        <v>16</v>
      </c>
      <c r="C74" s="91" t="s">
        <v>294</v>
      </c>
      <c r="D74" s="91" t="s">
        <v>58</v>
      </c>
      <c r="E74" s="91" t="s">
        <v>57</v>
      </c>
      <c r="F74" s="10" t="s">
        <v>419</v>
      </c>
      <c r="G74" s="6"/>
      <c r="H74" s="10" t="s">
        <v>480</v>
      </c>
      <c r="I74" s="10" t="s">
        <v>417</v>
      </c>
      <c r="J74" s="6" t="s">
        <v>571</v>
      </c>
      <c r="K74" s="19" t="s">
        <v>26</v>
      </c>
      <c r="L74" s="27"/>
    </row>
    <row r="75" spans="1:12" s="7" customFormat="1" ht="50.15" customHeight="1" x14ac:dyDescent="0.35">
      <c r="A75" s="90">
        <v>67</v>
      </c>
      <c r="B75" s="5" t="s">
        <v>16</v>
      </c>
      <c r="C75" s="91" t="s">
        <v>294</v>
      </c>
      <c r="D75" s="91" t="s">
        <v>58</v>
      </c>
      <c r="E75" s="91" t="s">
        <v>57</v>
      </c>
      <c r="F75" s="104" t="s">
        <v>420</v>
      </c>
      <c r="G75" s="104"/>
      <c r="H75" s="104"/>
      <c r="I75" s="104" t="s">
        <v>323</v>
      </c>
      <c r="J75" s="104" t="s">
        <v>336</v>
      </c>
      <c r="K75" s="19" t="s">
        <v>26</v>
      </c>
      <c r="L75" s="27"/>
    </row>
    <row r="76" spans="1:12" s="7" customFormat="1" ht="31" x14ac:dyDescent="0.35">
      <c r="A76" s="90">
        <v>68</v>
      </c>
      <c r="B76" s="5" t="s">
        <v>16</v>
      </c>
      <c r="C76" s="91" t="s">
        <v>294</v>
      </c>
      <c r="D76" s="91" t="s">
        <v>58</v>
      </c>
      <c r="E76" s="103" t="s">
        <v>57</v>
      </c>
      <c r="F76" s="104" t="s">
        <v>421</v>
      </c>
      <c r="G76" s="107"/>
      <c r="H76" s="107"/>
      <c r="I76" s="107" t="s">
        <v>323</v>
      </c>
      <c r="J76" s="104"/>
      <c r="K76" s="22" t="s">
        <v>79</v>
      </c>
      <c r="L76" s="22"/>
    </row>
    <row r="77" spans="1:12" s="7" customFormat="1" ht="31" x14ac:dyDescent="0.35">
      <c r="A77" s="90">
        <v>69</v>
      </c>
      <c r="B77" s="5" t="s">
        <v>16</v>
      </c>
      <c r="C77" s="91" t="s">
        <v>294</v>
      </c>
      <c r="D77" s="91" t="s">
        <v>58</v>
      </c>
      <c r="E77" s="91" t="s">
        <v>296</v>
      </c>
      <c r="F77" s="102" t="s">
        <v>422</v>
      </c>
      <c r="G77" s="10"/>
      <c r="H77" s="10"/>
      <c r="I77" s="10" t="s">
        <v>417</v>
      </c>
      <c r="J77" s="102" t="s">
        <v>572</v>
      </c>
      <c r="K77" s="19" t="s">
        <v>79</v>
      </c>
      <c r="L77" s="27"/>
    </row>
    <row r="78" spans="1:12" s="7" customFormat="1" ht="31" x14ac:dyDescent="0.35">
      <c r="A78" s="90">
        <v>70</v>
      </c>
      <c r="B78" s="5" t="s">
        <v>16</v>
      </c>
      <c r="C78" s="91" t="s">
        <v>294</v>
      </c>
      <c r="D78" s="91" t="s">
        <v>58</v>
      </c>
      <c r="E78" s="103" t="s">
        <v>296</v>
      </c>
      <c r="F78" s="13" t="s">
        <v>102</v>
      </c>
      <c r="G78" s="87"/>
      <c r="H78" s="13"/>
      <c r="I78" s="13" t="s">
        <v>417</v>
      </c>
      <c r="J78" s="87"/>
      <c r="K78" s="22" t="s">
        <v>79</v>
      </c>
      <c r="L78" s="22"/>
    </row>
    <row r="79" spans="1:12" s="7" customFormat="1" x14ac:dyDescent="0.35">
      <c r="A79" s="90">
        <v>71</v>
      </c>
      <c r="B79" s="5" t="s">
        <v>16</v>
      </c>
      <c r="C79" s="91" t="s">
        <v>294</v>
      </c>
      <c r="D79" s="91" t="s">
        <v>58</v>
      </c>
      <c r="E79" s="91" t="s">
        <v>423</v>
      </c>
      <c r="F79" s="10" t="s">
        <v>127</v>
      </c>
      <c r="G79" s="6"/>
      <c r="H79" s="10" t="s">
        <v>4</v>
      </c>
      <c r="I79" s="10" t="s">
        <v>333</v>
      </c>
      <c r="J79" s="6"/>
      <c r="K79" s="19" t="s">
        <v>79</v>
      </c>
      <c r="L79" s="27"/>
    </row>
    <row r="80" spans="1:12" s="7" customFormat="1" x14ac:dyDescent="0.35">
      <c r="A80" s="90">
        <v>72</v>
      </c>
      <c r="B80" s="5" t="s">
        <v>16</v>
      </c>
      <c r="C80" s="91" t="s">
        <v>294</v>
      </c>
      <c r="D80" s="91" t="s">
        <v>58</v>
      </c>
      <c r="E80" s="91" t="s">
        <v>423</v>
      </c>
      <c r="F80" s="10" t="s">
        <v>298</v>
      </c>
      <c r="G80" s="6"/>
      <c r="H80" s="10" t="s">
        <v>4</v>
      </c>
      <c r="I80" s="10" t="s">
        <v>333</v>
      </c>
      <c r="J80" s="6"/>
      <c r="K80" s="19" t="s">
        <v>79</v>
      </c>
      <c r="L80" s="27"/>
    </row>
    <row r="81" spans="1:12" s="7" customFormat="1" x14ac:dyDescent="0.35">
      <c r="A81" s="90">
        <v>73</v>
      </c>
      <c r="B81" s="5" t="s">
        <v>16</v>
      </c>
      <c r="C81" s="91" t="s">
        <v>294</v>
      </c>
      <c r="D81" s="91" t="s">
        <v>58</v>
      </c>
      <c r="E81" s="103" t="s">
        <v>423</v>
      </c>
      <c r="F81" s="10" t="s">
        <v>115</v>
      </c>
      <c r="G81" s="6"/>
      <c r="H81" s="10"/>
      <c r="I81" s="13" t="s">
        <v>323</v>
      </c>
      <c r="J81" s="6" t="s">
        <v>337</v>
      </c>
      <c r="K81" s="22" t="s">
        <v>79</v>
      </c>
      <c r="L81" s="22"/>
    </row>
    <row r="82" spans="1:12" x14ac:dyDescent="0.35">
      <c r="A82" s="90">
        <v>74</v>
      </c>
      <c r="B82" s="5" t="s">
        <v>16</v>
      </c>
      <c r="C82" s="91" t="s">
        <v>294</v>
      </c>
      <c r="D82" s="97" t="s">
        <v>40</v>
      </c>
      <c r="E82" s="5"/>
      <c r="F82" s="100" t="s">
        <v>43</v>
      </c>
      <c r="G82" s="100"/>
      <c r="H82" s="100"/>
      <c r="I82" s="10" t="s">
        <v>323</v>
      </c>
      <c r="J82" s="102" t="s">
        <v>144</v>
      </c>
      <c r="K82" s="19" t="s">
        <v>79</v>
      </c>
      <c r="L82" s="27"/>
    </row>
    <row r="83" spans="1:12" x14ac:dyDescent="0.35">
      <c r="A83" s="90">
        <v>75</v>
      </c>
      <c r="B83" s="5" t="s">
        <v>16</v>
      </c>
      <c r="C83" s="91" t="s">
        <v>294</v>
      </c>
      <c r="D83" s="91" t="s">
        <v>40</v>
      </c>
      <c r="E83" s="5"/>
      <c r="F83" s="6" t="s">
        <v>114</v>
      </c>
      <c r="G83" s="6"/>
      <c r="H83" s="6"/>
      <c r="I83" s="10" t="s">
        <v>323</v>
      </c>
      <c r="J83" s="6"/>
      <c r="K83" s="19" t="s">
        <v>79</v>
      </c>
      <c r="L83" s="27"/>
    </row>
    <row r="84" spans="1:12" ht="31" x14ac:dyDescent="0.35">
      <c r="A84" s="90">
        <v>76</v>
      </c>
      <c r="B84" s="5" t="s">
        <v>16</v>
      </c>
      <c r="C84" s="91" t="s">
        <v>294</v>
      </c>
      <c r="D84" s="91" t="s">
        <v>40</v>
      </c>
      <c r="E84" s="5"/>
      <c r="F84" s="10" t="s">
        <v>338</v>
      </c>
      <c r="G84" s="6"/>
      <c r="H84" s="6"/>
      <c r="I84" s="10" t="s">
        <v>417</v>
      </c>
      <c r="J84" s="104" t="s">
        <v>154</v>
      </c>
      <c r="K84" s="19" t="s">
        <v>79</v>
      </c>
      <c r="L84" s="27"/>
    </row>
    <row r="85" spans="1:12" x14ac:dyDescent="0.35">
      <c r="A85" s="90">
        <v>77</v>
      </c>
      <c r="B85" s="5" t="s">
        <v>16</v>
      </c>
      <c r="C85" s="91" t="s">
        <v>294</v>
      </c>
      <c r="D85" s="91" t="s">
        <v>40</v>
      </c>
      <c r="E85" s="5"/>
      <c r="F85" s="10" t="s">
        <v>150</v>
      </c>
      <c r="G85" s="6"/>
      <c r="H85" s="6"/>
      <c r="I85" s="6" t="s">
        <v>318</v>
      </c>
      <c r="J85" s="104" t="s">
        <v>151</v>
      </c>
      <c r="K85" s="19" t="s">
        <v>26</v>
      </c>
      <c r="L85" s="27"/>
    </row>
    <row r="86" spans="1:12" x14ac:dyDescent="0.35">
      <c r="A86" s="90">
        <v>78</v>
      </c>
      <c r="B86" s="5" t="s">
        <v>16</v>
      </c>
      <c r="C86" s="91" t="s">
        <v>294</v>
      </c>
      <c r="D86" s="91" t="s">
        <v>40</v>
      </c>
      <c r="E86" s="5"/>
      <c r="F86" s="10" t="s">
        <v>152</v>
      </c>
      <c r="G86" s="6"/>
      <c r="H86" s="6"/>
      <c r="I86" s="6" t="s">
        <v>318</v>
      </c>
      <c r="J86" s="6" t="s">
        <v>340</v>
      </c>
      <c r="K86" s="19" t="s">
        <v>26</v>
      </c>
      <c r="L86" s="27"/>
    </row>
    <row r="87" spans="1:12" x14ac:dyDescent="0.35">
      <c r="A87" s="90">
        <v>79</v>
      </c>
      <c r="B87" s="5" t="s">
        <v>16</v>
      </c>
      <c r="C87" s="91" t="s">
        <v>294</v>
      </c>
      <c r="D87" s="91" t="s">
        <v>40</v>
      </c>
      <c r="E87" s="5"/>
      <c r="F87" s="10" t="s">
        <v>153</v>
      </c>
      <c r="G87" s="6"/>
      <c r="H87" s="6"/>
      <c r="I87" s="6" t="s">
        <v>318</v>
      </c>
      <c r="J87" s="6" t="s">
        <v>341</v>
      </c>
      <c r="K87" s="19" t="s">
        <v>26</v>
      </c>
      <c r="L87" s="27"/>
    </row>
    <row r="88" spans="1:12" ht="31" x14ac:dyDescent="0.35">
      <c r="A88" s="90">
        <v>80</v>
      </c>
      <c r="B88" s="5" t="s">
        <v>16</v>
      </c>
      <c r="C88" s="91" t="s">
        <v>294</v>
      </c>
      <c r="D88" s="91" t="s">
        <v>40</v>
      </c>
      <c r="E88" s="5"/>
      <c r="F88" s="10" t="s">
        <v>9</v>
      </c>
      <c r="G88" s="6"/>
      <c r="H88" s="6"/>
      <c r="I88" s="10" t="s">
        <v>417</v>
      </c>
      <c r="J88" s="6" t="s">
        <v>327</v>
      </c>
      <c r="K88" s="19" t="s">
        <v>26</v>
      </c>
      <c r="L88" s="27"/>
    </row>
    <row r="89" spans="1:12" ht="31" x14ac:dyDescent="0.35">
      <c r="A89" s="90">
        <v>81</v>
      </c>
      <c r="B89" s="5" t="s">
        <v>16</v>
      </c>
      <c r="C89" s="91" t="s">
        <v>294</v>
      </c>
      <c r="D89" s="91" t="s">
        <v>40</v>
      </c>
      <c r="E89" s="5"/>
      <c r="F89" s="10" t="s">
        <v>339</v>
      </c>
      <c r="G89" s="6"/>
      <c r="H89" s="6"/>
      <c r="I89" s="10" t="s">
        <v>417</v>
      </c>
      <c r="J89" s="6" t="s">
        <v>384</v>
      </c>
      <c r="K89" s="19" t="s">
        <v>26</v>
      </c>
      <c r="L89" s="27"/>
    </row>
    <row r="90" spans="1:12" ht="62" x14ac:dyDescent="0.35">
      <c r="A90" s="90">
        <v>82</v>
      </c>
      <c r="B90" s="5" t="s">
        <v>16</v>
      </c>
      <c r="C90" s="91" t="s">
        <v>294</v>
      </c>
      <c r="D90" s="91" t="s">
        <v>40</v>
      </c>
      <c r="E90" s="5"/>
      <c r="F90" s="10" t="s">
        <v>573</v>
      </c>
      <c r="G90" s="6"/>
      <c r="H90" s="6"/>
      <c r="I90" s="6" t="s">
        <v>320</v>
      </c>
      <c r="J90" s="6"/>
      <c r="K90" s="19" t="s">
        <v>26</v>
      </c>
      <c r="L90" s="27"/>
    </row>
    <row r="91" spans="1:12" s="7" customFormat="1" ht="31" x14ac:dyDescent="0.35">
      <c r="A91" s="90">
        <v>83</v>
      </c>
      <c r="B91" s="5" t="s">
        <v>16</v>
      </c>
      <c r="C91" s="103" t="s">
        <v>294</v>
      </c>
      <c r="D91" s="103" t="s">
        <v>40</v>
      </c>
      <c r="E91" s="93"/>
      <c r="F91" s="13" t="s">
        <v>133</v>
      </c>
      <c r="G91" s="87"/>
      <c r="H91" s="87" t="s">
        <v>51</v>
      </c>
      <c r="I91" s="87" t="s">
        <v>424</v>
      </c>
      <c r="J91" s="87" t="s">
        <v>342</v>
      </c>
      <c r="K91" s="22" t="s">
        <v>79</v>
      </c>
      <c r="L91" s="22"/>
    </row>
    <row r="92" spans="1:12" x14ac:dyDescent="0.35">
      <c r="A92" s="90">
        <v>84</v>
      </c>
      <c r="B92" s="5" t="s">
        <v>16</v>
      </c>
      <c r="C92" s="91" t="s">
        <v>155</v>
      </c>
      <c r="D92" s="5" t="s">
        <v>297</v>
      </c>
      <c r="E92" s="91"/>
      <c r="F92" s="6" t="s">
        <v>299</v>
      </c>
      <c r="G92" s="94"/>
      <c r="H92" s="6"/>
      <c r="I92" s="6" t="s">
        <v>323</v>
      </c>
      <c r="J92" s="6"/>
      <c r="K92" s="19" t="s">
        <v>79</v>
      </c>
      <c r="L92" s="27"/>
    </row>
    <row r="93" spans="1:12" x14ac:dyDescent="0.35">
      <c r="A93" s="90">
        <v>85</v>
      </c>
      <c r="B93" s="5" t="s">
        <v>16</v>
      </c>
      <c r="C93" s="91" t="s">
        <v>155</v>
      </c>
      <c r="D93" s="5" t="s">
        <v>297</v>
      </c>
      <c r="E93" s="91"/>
      <c r="F93" s="10" t="s">
        <v>300</v>
      </c>
      <c r="G93" s="94"/>
      <c r="H93" s="6"/>
      <c r="I93" s="6" t="s">
        <v>318</v>
      </c>
      <c r="J93" s="6" t="s">
        <v>574</v>
      </c>
      <c r="K93" s="19" t="s">
        <v>79</v>
      </c>
      <c r="L93" s="27"/>
    </row>
    <row r="94" spans="1:12" x14ac:dyDescent="0.35">
      <c r="A94" s="90">
        <v>86</v>
      </c>
      <c r="B94" s="5" t="s">
        <v>16</v>
      </c>
      <c r="C94" s="91" t="s">
        <v>155</v>
      </c>
      <c r="D94" s="5" t="s">
        <v>297</v>
      </c>
      <c r="E94" s="91"/>
      <c r="F94" s="10" t="s">
        <v>156</v>
      </c>
      <c r="G94" s="6"/>
      <c r="H94" s="6" t="s">
        <v>0</v>
      </c>
      <c r="I94" s="6" t="s">
        <v>333</v>
      </c>
      <c r="J94" s="6">
        <v>1</v>
      </c>
      <c r="K94" s="19" t="s">
        <v>79</v>
      </c>
      <c r="L94" s="27"/>
    </row>
    <row r="95" spans="1:12" x14ac:dyDescent="0.35">
      <c r="A95" s="90">
        <v>87</v>
      </c>
      <c r="B95" s="5" t="s">
        <v>16</v>
      </c>
      <c r="C95" s="91" t="s">
        <v>155</v>
      </c>
      <c r="D95" s="5" t="s">
        <v>297</v>
      </c>
      <c r="E95" s="5"/>
      <c r="F95" s="10" t="s">
        <v>132</v>
      </c>
      <c r="G95" s="6"/>
      <c r="H95" s="6" t="s">
        <v>0</v>
      </c>
      <c r="I95" s="6" t="s">
        <v>333</v>
      </c>
      <c r="J95" s="6">
        <v>20</v>
      </c>
      <c r="K95" s="19" t="s">
        <v>79</v>
      </c>
      <c r="L95" s="27"/>
    </row>
    <row r="96" spans="1:12" s="7" customFormat="1" ht="110.15" customHeight="1" x14ac:dyDescent="0.35">
      <c r="A96" s="90">
        <v>88</v>
      </c>
      <c r="B96" s="5" t="s">
        <v>16</v>
      </c>
      <c r="C96" s="91" t="s">
        <v>155</v>
      </c>
      <c r="D96" s="5" t="s">
        <v>297</v>
      </c>
      <c r="E96" s="5"/>
      <c r="F96" s="10" t="s">
        <v>343</v>
      </c>
      <c r="G96" s="6"/>
      <c r="H96" s="6"/>
      <c r="I96" s="6" t="s">
        <v>318</v>
      </c>
      <c r="J96" s="10" t="s">
        <v>66</v>
      </c>
      <c r="K96" s="20" t="s">
        <v>26</v>
      </c>
      <c r="L96" s="28" t="s">
        <v>575</v>
      </c>
    </row>
    <row r="97" spans="1:12" s="7" customFormat="1" ht="93.65" customHeight="1" x14ac:dyDescent="0.35">
      <c r="A97" s="90">
        <v>89</v>
      </c>
      <c r="B97" s="5" t="s">
        <v>16</v>
      </c>
      <c r="C97" s="91" t="s">
        <v>155</v>
      </c>
      <c r="D97" s="5" t="s">
        <v>297</v>
      </c>
      <c r="E97" s="5"/>
      <c r="F97" s="10" t="s">
        <v>425</v>
      </c>
      <c r="G97" s="6"/>
      <c r="H97" s="6"/>
      <c r="I97" s="6" t="s">
        <v>323</v>
      </c>
      <c r="J97" s="10"/>
      <c r="K97" s="20" t="s">
        <v>26</v>
      </c>
      <c r="L97" s="28" t="s">
        <v>576</v>
      </c>
    </row>
    <row r="98" spans="1:12" x14ac:dyDescent="0.35">
      <c r="A98" s="90">
        <v>90</v>
      </c>
      <c r="B98" s="5" t="s">
        <v>16</v>
      </c>
      <c r="C98" s="91" t="s">
        <v>155</v>
      </c>
      <c r="D98" s="93" t="s">
        <v>297</v>
      </c>
      <c r="E98" s="93"/>
      <c r="F98" s="87" t="s">
        <v>157</v>
      </c>
      <c r="G98" s="87"/>
      <c r="H98" s="87"/>
      <c r="I98" s="87" t="s">
        <v>323</v>
      </c>
      <c r="J98" s="108" t="s">
        <v>395</v>
      </c>
      <c r="K98" s="21" t="s">
        <v>26</v>
      </c>
      <c r="L98" s="125" t="s">
        <v>577</v>
      </c>
    </row>
    <row r="99" spans="1:12" s="7" customFormat="1" x14ac:dyDescent="0.35">
      <c r="A99" s="90">
        <v>91</v>
      </c>
      <c r="B99" s="5" t="s">
        <v>16</v>
      </c>
      <c r="C99" s="91" t="s">
        <v>155</v>
      </c>
      <c r="D99" s="5" t="s">
        <v>297</v>
      </c>
      <c r="E99" s="5" t="s">
        <v>158</v>
      </c>
      <c r="F99" s="10" t="s">
        <v>159</v>
      </c>
      <c r="G99" s="6"/>
      <c r="H99" s="6"/>
      <c r="I99" s="6" t="s">
        <v>323</v>
      </c>
      <c r="J99" s="10" t="s">
        <v>385</v>
      </c>
      <c r="K99" s="19" t="s">
        <v>79</v>
      </c>
      <c r="L99" s="27"/>
    </row>
    <row r="100" spans="1:12" s="7" customFormat="1" x14ac:dyDescent="0.35">
      <c r="A100" s="90">
        <v>92</v>
      </c>
      <c r="B100" s="5" t="s">
        <v>16</v>
      </c>
      <c r="C100" s="91" t="s">
        <v>155</v>
      </c>
      <c r="D100" s="5" t="s">
        <v>297</v>
      </c>
      <c r="E100" s="5" t="s">
        <v>158</v>
      </c>
      <c r="F100" s="6" t="s">
        <v>426</v>
      </c>
      <c r="G100" s="6"/>
      <c r="H100" s="6"/>
      <c r="I100" s="6" t="s">
        <v>323</v>
      </c>
      <c r="J100" s="66" t="s">
        <v>391</v>
      </c>
      <c r="K100" s="19" t="s">
        <v>79</v>
      </c>
      <c r="L100" s="27"/>
    </row>
    <row r="101" spans="1:12" s="7" customFormat="1" x14ac:dyDescent="0.35">
      <c r="A101" s="90">
        <v>93</v>
      </c>
      <c r="B101" s="5" t="s">
        <v>16</v>
      </c>
      <c r="C101" s="91" t="s">
        <v>155</v>
      </c>
      <c r="D101" s="5" t="s">
        <v>297</v>
      </c>
      <c r="E101" s="5" t="s">
        <v>158</v>
      </c>
      <c r="F101" s="6" t="s">
        <v>386</v>
      </c>
      <c r="G101" s="6"/>
      <c r="H101" s="6"/>
      <c r="I101" s="6" t="s">
        <v>323</v>
      </c>
      <c r="J101" s="66" t="s">
        <v>387</v>
      </c>
      <c r="K101" s="19" t="s">
        <v>26</v>
      </c>
      <c r="L101" s="27"/>
    </row>
    <row r="102" spans="1:12" s="7" customFormat="1" ht="46.5" x14ac:dyDescent="0.35">
      <c r="A102" s="90">
        <v>94</v>
      </c>
      <c r="B102" s="5" t="s">
        <v>16</v>
      </c>
      <c r="C102" s="91" t="s">
        <v>155</v>
      </c>
      <c r="D102" s="5" t="s">
        <v>297</v>
      </c>
      <c r="E102" s="5" t="s">
        <v>158</v>
      </c>
      <c r="F102" s="6" t="s">
        <v>105</v>
      </c>
      <c r="G102" s="6"/>
      <c r="H102" s="6"/>
      <c r="I102" s="6" t="s">
        <v>323</v>
      </c>
      <c r="J102" s="10" t="s">
        <v>344</v>
      </c>
      <c r="K102" s="19" t="s">
        <v>26</v>
      </c>
      <c r="L102" s="27"/>
    </row>
    <row r="103" spans="1:12" s="7" customFormat="1" x14ac:dyDescent="0.35">
      <c r="A103" s="90">
        <v>95</v>
      </c>
      <c r="B103" s="5" t="s">
        <v>16</v>
      </c>
      <c r="C103" s="91" t="s">
        <v>155</v>
      </c>
      <c r="D103" s="93" t="s">
        <v>297</v>
      </c>
      <c r="E103" s="93" t="s">
        <v>158</v>
      </c>
      <c r="F103" s="87" t="s">
        <v>160</v>
      </c>
      <c r="G103" s="87"/>
      <c r="H103" s="87"/>
      <c r="I103" s="87" t="s">
        <v>318</v>
      </c>
      <c r="J103" s="87" t="s">
        <v>66</v>
      </c>
      <c r="K103" s="22" t="s">
        <v>79</v>
      </c>
      <c r="L103" s="22"/>
    </row>
    <row r="104" spans="1:12" ht="31" x14ac:dyDescent="0.35">
      <c r="A104" s="90">
        <v>96</v>
      </c>
      <c r="B104" s="5" t="s">
        <v>16</v>
      </c>
      <c r="C104" s="91" t="s">
        <v>155</v>
      </c>
      <c r="D104" s="5" t="s">
        <v>124</v>
      </c>
      <c r="E104" s="91" t="s">
        <v>427</v>
      </c>
      <c r="F104" s="10" t="s">
        <v>428</v>
      </c>
      <c r="G104" s="6"/>
      <c r="H104" s="6"/>
      <c r="I104" s="6" t="s">
        <v>318</v>
      </c>
      <c r="J104" s="6" t="s">
        <v>66</v>
      </c>
      <c r="K104" s="20" t="s">
        <v>26</v>
      </c>
      <c r="L104" s="14" t="s">
        <v>578</v>
      </c>
    </row>
    <row r="105" spans="1:12" ht="31" x14ac:dyDescent="0.35">
      <c r="A105" s="90">
        <v>97</v>
      </c>
      <c r="B105" s="5" t="s">
        <v>16</v>
      </c>
      <c r="C105" s="91" t="s">
        <v>155</v>
      </c>
      <c r="D105" s="5" t="s">
        <v>124</v>
      </c>
      <c r="E105" s="91" t="s">
        <v>427</v>
      </c>
      <c r="F105" s="104" t="s">
        <v>161</v>
      </c>
      <c r="G105" s="104"/>
      <c r="H105" s="104"/>
      <c r="I105" s="10" t="s">
        <v>417</v>
      </c>
      <c r="J105" s="104" t="s">
        <v>579</v>
      </c>
      <c r="K105" s="20" t="s">
        <v>79</v>
      </c>
      <c r="L105" s="27"/>
    </row>
    <row r="106" spans="1:12" x14ac:dyDescent="0.35">
      <c r="A106" s="90">
        <v>98</v>
      </c>
      <c r="B106" s="5" t="s">
        <v>16</v>
      </c>
      <c r="C106" s="91" t="s">
        <v>155</v>
      </c>
      <c r="D106" s="5" t="s">
        <v>124</v>
      </c>
      <c r="E106" s="91" t="s">
        <v>427</v>
      </c>
      <c r="F106" s="104" t="s">
        <v>272</v>
      </c>
      <c r="G106" s="104"/>
      <c r="H106" s="104"/>
      <c r="I106" s="104" t="s">
        <v>319</v>
      </c>
      <c r="J106" s="104"/>
      <c r="K106" s="20" t="s">
        <v>26</v>
      </c>
      <c r="L106" s="27"/>
    </row>
    <row r="107" spans="1:12" x14ac:dyDescent="0.35">
      <c r="A107" s="90">
        <v>99</v>
      </c>
      <c r="B107" s="5" t="s">
        <v>16</v>
      </c>
      <c r="C107" s="91" t="s">
        <v>155</v>
      </c>
      <c r="D107" s="5" t="s">
        <v>124</v>
      </c>
      <c r="E107" s="91" t="s">
        <v>427</v>
      </c>
      <c r="F107" s="104" t="s">
        <v>271</v>
      </c>
      <c r="G107" s="104"/>
      <c r="H107" s="104"/>
      <c r="I107" s="104" t="s">
        <v>333</v>
      </c>
      <c r="J107" s="104"/>
      <c r="K107" s="20" t="s">
        <v>26</v>
      </c>
      <c r="L107" s="27"/>
    </row>
    <row r="108" spans="1:12" x14ac:dyDescent="0.35">
      <c r="A108" s="90">
        <v>100</v>
      </c>
      <c r="B108" s="5" t="s">
        <v>16</v>
      </c>
      <c r="C108" s="91" t="s">
        <v>155</v>
      </c>
      <c r="D108" s="5" t="s">
        <v>124</v>
      </c>
      <c r="E108" s="91" t="s">
        <v>427</v>
      </c>
      <c r="F108" s="10" t="s">
        <v>120</v>
      </c>
      <c r="G108" s="6"/>
      <c r="H108" s="6"/>
      <c r="I108" s="6" t="s">
        <v>323</v>
      </c>
      <c r="J108" s="10" t="s">
        <v>345</v>
      </c>
      <c r="K108" s="20" t="s">
        <v>26</v>
      </c>
      <c r="L108" s="27"/>
    </row>
    <row r="109" spans="1:12" x14ac:dyDescent="0.35">
      <c r="A109" s="90">
        <v>101</v>
      </c>
      <c r="B109" s="5" t="s">
        <v>16</v>
      </c>
      <c r="C109" s="91" t="s">
        <v>155</v>
      </c>
      <c r="D109" s="5" t="s">
        <v>124</v>
      </c>
      <c r="E109" s="91" t="s">
        <v>427</v>
      </c>
      <c r="F109" s="10" t="s">
        <v>119</v>
      </c>
      <c r="G109" s="6"/>
      <c r="H109" s="6"/>
      <c r="I109" s="6" t="s">
        <v>333</v>
      </c>
      <c r="J109" s="10">
        <v>1</v>
      </c>
      <c r="K109" s="20" t="s">
        <v>26</v>
      </c>
      <c r="L109" s="27" t="s">
        <v>429</v>
      </c>
    </row>
    <row r="110" spans="1:12" x14ac:dyDescent="0.35">
      <c r="A110" s="90">
        <v>102</v>
      </c>
      <c r="B110" s="5" t="s">
        <v>16</v>
      </c>
      <c r="C110" s="91" t="s">
        <v>155</v>
      </c>
      <c r="D110" s="5" t="s">
        <v>124</v>
      </c>
      <c r="E110" s="91" t="s">
        <v>427</v>
      </c>
      <c r="F110" s="10" t="s">
        <v>121</v>
      </c>
      <c r="G110" s="6"/>
      <c r="H110" s="6" t="s">
        <v>0</v>
      </c>
      <c r="I110" s="6" t="s">
        <v>323</v>
      </c>
      <c r="J110" s="109" t="s">
        <v>162</v>
      </c>
      <c r="K110" s="20" t="s">
        <v>26</v>
      </c>
      <c r="L110" s="27"/>
    </row>
    <row r="111" spans="1:12" ht="31" x14ac:dyDescent="0.35">
      <c r="A111" s="90">
        <v>103</v>
      </c>
      <c r="B111" s="5" t="s">
        <v>16</v>
      </c>
      <c r="C111" s="91" t="s">
        <v>155</v>
      </c>
      <c r="D111" s="5" t="s">
        <v>124</v>
      </c>
      <c r="E111" s="103" t="s">
        <v>427</v>
      </c>
      <c r="F111" s="13" t="s">
        <v>430</v>
      </c>
      <c r="G111" s="87"/>
      <c r="H111" s="87"/>
      <c r="I111" s="87" t="s">
        <v>318</v>
      </c>
      <c r="J111" s="13" t="s">
        <v>66</v>
      </c>
      <c r="K111" s="22" t="s">
        <v>26</v>
      </c>
      <c r="L111" s="68" t="s">
        <v>580</v>
      </c>
    </row>
    <row r="112" spans="1:12" x14ac:dyDescent="0.35">
      <c r="A112" s="90">
        <v>104</v>
      </c>
      <c r="B112" s="5" t="s">
        <v>16</v>
      </c>
      <c r="C112" s="91" t="s">
        <v>155</v>
      </c>
      <c r="D112" s="5" t="s">
        <v>124</v>
      </c>
      <c r="E112" s="91" t="s">
        <v>431</v>
      </c>
      <c r="F112" s="10" t="s">
        <v>458</v>
      </c>
      <c r="G112" s="6"/>
      <c r="H112" s="6"/>
      <c r="I112" s="6" t="s">
        <v>318</v>
      </c>
      <c r="J112" s="6" t="s">
        <v>66</v>
      </c>
      <c r="K112" s="20" t="s">
        <v>26</v>
      </c>
      <c r="L112" s="14" t="s">
        <v>346</v>
      </c>
    </row>
    <row r="113" spans="1:12" ht="56.5" customHeight="1" x14ac:dyDescent="0.35">
      <c r="A113" s="90">
        <v>105</v>
      </c>
      <c r="B113" s="5" t="s">
        <v>16</v>
      </c>
      <c r="C113" s="91" t="s">
        <v>155</v>
      </c>
      <c r="D113" s="5" t="s">
        <v>124</v>
      </c>
      <c r="E113" s="91" t="s">
        <v>431</v>
      </c>
      <c r="F113" s="104" t="s">
        <v>459</v>
      </c>
      <c r="G113" s="104"/>
      <c r="H113" s="104"/>
      <c r="I113" s="6" t="s">
        <v>318</v>
      </c>
      <c r="J113" s="104" t="s">
        <v>66</v>
      </c>
      <c r="K113" s="20" t="s">
        <v>26</v>
      </c>
      <c r="L113" s="14" t="s">
        <v>501</v>
      </c>
    </row>
    <row r="114" spans="1:12" ht="31" x14ac:dyDescent="0.35">
      <c r="A114" s="90">
        <v>106</v>
      </c>
      <c r="B114" s="5" t="s">
        <v>16</v>
      </c>
      <c r="C114" s="91" t="s">
        <v>155</v>
      </c>
      <c r="D114" s="5" t="s">
        <v>124</v>
      </c>
      <c r="E114" s="91" t="s">
        <v>431</v>
      </c>
      <c r="F114" s="104" t="s">
        <v>161</v>
      </c>
      <c r="G114" s="104"/>
      <c r="H114" s="104"/>
      <c r="I114" s="10" t="s">
        <v>417</v>
      </c>
      <c r="J114" s="104" t="s">
        <v>579</v>
      </c>
      <c r="K114" s="20" t="s">
        <v>79</v>
      </c>
      <c r="L114" s="27"/>
    </row>
    <row r="115" spans="1:12" x14ac:dyDescent="0.35">
      <c r="A115" s="90">
        <v>107</v>
      </c>
      <c r="B115" s="5" t="s">
        <v>16</v>
      </c>
      <c r="C115" s="91" t="s">
        <v>155</v>
      </c>
      <c r="D115" s="5" t="s">
        <v>124</v>
      </c>
      <c r="E115" s="91" t="s">
        <v>431</v>
      </c>
      <c r="F115" s="104" t="s">
        <v>272</v>
      </c>
      <c r="G115" s="104"/>
      <c r="H115" s="104"/>
      <c r="I115" s="104" t="s">
        <v>319</v>
      </c>
      <c r="J115" s="104"/>
      <c r="K115" s="20" t="s">
        <v>26</v>
      </c>
      <c r="L115" s="27"/>
    </row>
    <row r="116" spans="1:12" x14ac:dyDescent="0.35">
      <c r="A116" s="90">
        <v>108</v>
      </c>
      <c r="B116" s="5" t="s">
        <v>16</v>
      </c>
      <c r="C116" s="91" t="s">
        <v>155</v>
      </c>
      <c r="D116" s="5" t="s">
        <v>124</v>
      </c>
      <c r="E116" s="91" t="s">
        <v>431</v>
      </c>
      <c r="F116" s="104" t="s">
        <v>271</v>
      </c>
      <c r="G116" s="104"/>
      <c r="H116" s="104"/>
      <c r="I116" s="104" t="s">
        <v>333</v>
      </c>
      <c r="J116" s="104"/>
      <c r="K116" s="20" t="s">
        <v>26</v>
      </c>
      <c r="L116" s="27"/>
    </row>
    <row r="117" spans="1:12" x14ac:dyDescent="0.35">
      <c r="A117" s="90">
        <v>109</v>
      </c>
      <c r="B117" s="5" t="s">
        <v>16</v>
      </c>
      <c r="C117" s="91" t="s">
        <v>155</v>
      </c>
      <c r="D117" s="5" t="s">
        <v>124</v>
      </c>
      <c r="E117" s="91" t="s">
        <v>431</v>
      </c>
      <c r="F117" s="10" t="s">
        <v>120</v>
      </c>
      <c r="G117" s="6"/>
      <c r="H117" s="6"/>
      <c r="I117" s="6" t="s">
        <v>323</v>
      </c>
      <c r="J117" s="10"/>
      <c r="K117" s="20" t="s">
        <v>26</v>
      </c>
      <c r="L117" s="27"/>
    </row>
    <row r="118" spans="1:12" x14ac:dyDescent="0.35">
      <c r="A118" s="90">
        <v>110</v>
      </c>
      <c r="B118" s="5" t="s">
        <v>16</v>
      </c>
      <c r="C118" s="91" t="s">
        <v>155</v>
      </c>
      <c r="D118" s="5" t="s">
        <v>124</v>
      </c>
      <c r="E118" s="91" t="s">
        <v>431</v>
      </c>
      <c r="F118" s="10" t="s">
        <v>119</v>
      </c>
      <c r="G118" s="6"/>
      <c r="H118" s="6"/>
      <c r="I118" s="6" t="s">
        <v>333</v>
      </c>
      <c r="J118" s="10"/>
      <c r="K118" s="20" t="s">
        <v>26</v>
      </c>
      <c r="L118" s="27"/>
    </row>
    <row r="119" spans="1:12" x14ac:dyDescent="0.35">
      <c r="A119" s="90">
        <v>111</v>
      </c>
      <c r="B119" s="5" t="s">
        <v>16</v>
      </c>
      <c r="C119" s="91" t="s">
        <v>155</v>
      </c>
      <c r="D119" s="5" t="s">
        <v>124</v>
      </c>
      <c r="E119" s="91" t="s">
        <v>431</v>
      </c>
      <c r="F119" s="13" t="s">
        <v>121</v>
      </c>
      <c r="G119" s="87"/>
      <c r="H119" s="87" t="s">
        <v>0</v>
      </c>
      <c r="I119" s="87" t="s">
        <v>323</v>
      </c>
      <c r="J119" s="110"/>
      <c r="K119" s="21" t="s">
        <v>26</v>
      </c>
      <c r="L119" s="22"/>
    </row>
    <row r="120" spans="1:12" ht="31" x14ac:dyDescent="0.35">
      <c r="A120" s="90">
        <v>112</v>
      </c>
      <c r="B120" s="5" t="s">
        <v>16</v>
      </c>
      <c r="C120" s="91" t="s">
        <v>155</v>
      </c>
      <c r="D120" s="5" t="s">
        <v>124</v>
      </c>
      <c r="E120" s="97" t="s">
        <v>158</v>
      </c>
      <c r="F120" s="102" t="s">
        <v>308</v>
      </c>
      <c r="G120" s="6"/>
      <c r="H120" s="6"/>
      <c r="I120" s="6" t="s">
        <v>320</v>
      </c>
      <c r="J120" s="6" t="s">
        <v>347</v>
      </c>
      <c r="K120" s="39" t="s">
        <v>26</v>
      </c>
      <c r="L120" s="14"/>
    </row>
    <row r="121" spans="1:12" s="7" customFormat="1" ht="31" x14ac:dyDescent="0.35">
      <c r="A121" s="90">
        <v>113</v>
      </c>
      <c r="B121" s="5" t="s">
        <v>16</v>
      </c>
      <c r="C121" s="91" t="s">
        <v>155</v>
      </c>
      <c r="D121" s="5" t="s">
        <v>124</v>
      </c>
      <c r="E121" s="103" t="s">
        <v>158</v>
      </c>
      <c r="F121" s="13" t="s">
        <v>163</v>
      </c>
      <c r="G121" s="87"/>
      <c r="H121" s="87"/>
      <c r="I121" s="87" t="s">
        <v>318</v>
      </c>
      <c r="J121" s="86" t="s">
        <v>66</v>
      </c>
      <c r="K121" s="22" t="s">
        <v>26</v>
      </c>
      <c r="L121" s="22" t="s">
        <v>348</v>
      </c>
    </row>
    <row r="122" spans="1:12" s="7" customFormat="1" x14ac:dyDescent="0.35">
      <c r="A122" s="90">
        <v>114</v>
      </c>
      <c r="B122" s="5" t="s">
        <v>16</v>
      </c>
      <c r="C122" s="91" t="s">
        <v>155</v>
      </c>
      <c r="D122" s="111" t="s">
        <v>432</v>
      </c>
      <c r="E122" s="97"/>
      <c r="F122" s="102" t="s">
        <v>164</v>
      </c>
      <c r="G122" s="100"/>
      <c r="H122" s="100"/>
      <c r="I122" s="100" t="s">
        <v>318</v>
      </c>
      <c r="J122" s="100" t="s">
        <v>66</v>
      </c>
      <c r="K122" s="18" t="s">
        <v>26</v>
      </c>
      <c r="L122" s="27" t="s">
        <v>348</v>
      </c>
    </row>
    <row r="123" spans="1:12" s="7" customFormat="1" x14ac:dyDescent="0.35">
      <c r="A123" s="90">
        <v>115</v>
      </c>
      <c r="B123" s="5" t="s">
        <v>16</v>
      </c>
      <c r="C123" s="91" t="s">
        <v>155</v>
      </c>
      <c r="D123" s="93" t="s">
        <v>432</v>
      </c>
      <c r="E123" s="103"/>
      <c r="F123" s="13" t="s">
        <v>191</v>
      </c>
      <c r="G123" s="87"/>
      <c r="H123" s="87"/>
      <c r="I123" s="87" t="s">
        <v>318</v>
      </c>
      <c r="J123" s="87" t="s">
        <v>66</v>
      </c>
      <c r="K123" s="22" t="s">
        <v>79</v>
      </c>
      <c r="L123" s="22"/>
    </row>
    <row r="124" spans="1:12" s="7" customFormat="1" x14ac:dyDescent="0.35">
      <c r="A124" s="90">
        <v>116</v>
      </c>
      <c r="B124" s="5" t="s">
        <v>16</v>
      </c>
      <c r="C124" s="91" t="s">
        <v>155</v>
      </c>
      <c r="D124" s="5" t="s">
        <v>433</v>
      </c>
      <c r="E124" s="5"/>
      <c r="F124" s="6" t="s">
        <v>106</v>
      </c>
      <c r="G124" s="6"/>
      <c r="H124" s="6"/>
      <c r="I124" s="6" t="s">
        <v>318</v>
      </c>
      <c r="J124" s="6" t="s">
        <v>349</v>
      </c>
      <c r="K124" s="19" t="s">
        <v>26</v>
      </c>
      <c r="L124" s="27"/>
    </row>
    <row r="125" spans="1:12" x14ac:dyDescent="0.35">
      <c r="A125" s="90">
        <v>117</v>
      </c>
      <c r="B125" s="5" t="s">
        <v>16</v>
      </c>
      <c r="C125" s="91" t="s">
        <v>155</v>
      </c>
      <c r="D125" s="5" t="s">
        <v>433</v>
      </c>
      <c r="E125" s="5"/>
      <c r="F125" s="6" t="s">
        <v>434</v>
      </c>
      <c r="G125" s="5"/>
      <c r="H125" s="5"/>
      <c r="I125" s="6" t="s">
        <v>318</v>
      </c>
      <c r="J125" s="6" t="s">
        <v>435</v>
      </c>
      <c r="K125" s="19" t="s">
        <v>26</v>
      </c>
      <c r="L125" s="27"/>
    </row>
    <row r="126" spans="1:12" ht="31" x14ac:dyDescent="0.35">
      <c r="A126" s="90">
        <v>118</v>
      </c>
      <c r="B126" s="5" t="s">
        <v>16</v>
      </c>
      <c r="C126" s="91" t="s">
        <v>155</v>
      </c>
      <c r="D126" s="5" t="s">
        <v>433</v>
      </c>
      <c r="E126" s="93"/>
      <c r="F126" s="87" t="s">
        <v>350</v>
      </c>
      <c r="G126" s="93"/>
      <c r="H126" s="93"/>
      <c r="I126" s="93" t="s">
        <v>318</v>
      </c>
      <c r="J126" s="87" t="s">
        <v>66</v>
      </c>
      <c r="K126" s="22" t="s">
        <v>26</v>
      </c>
      <c r="L126" s="22" t="s">
        <v>348</v>
      </c>
    </row>
    <row r="127" spans="1:12" x14ac:dyDescent="0.35">
      <c r="A127" s="90">
        <v>119</v>
      </c>
      <c r="B127" s="5" t="s">
        <v>16</v>
      </c>
      <c r="C127" s="91" t="s">
        <v>155</v>
      </c>
      <c r="D127" s="5" t="s">
        <v>433</v>
      </c>
      <c r="E127" s="5" t="s">
        <v>168</v>
      </c>
      <c r="F127" s="5" t="s">
        <v>135</v>
      </c>
      <c r="G127" s="5"/>
      <c r="H127" s="5"/>
      <c r="I127" s="6" t="s">
        <v>318</v>
      </c>
      <c r="J127" s="112" t="s">
        <v>381</v>
      </c>
      <c r="K127" s="19" t="s">
        <v>26</v>
      </c>
      <c r="L127" s="27"/>
    </row>
    <row r="128" spans="1:12" s="7" customFormat="1" x14ac:dyDescent="0.35">
      <c r="A128" s="90">
        <v>120</v>
      </c>
      <c r="B128" s="5" t="s">
        <v>16</v>
      </c>
      <c r="C128" s="91" t="s">
        <v>155</v>
      </c>
      <c r="D128" s="5" t="s">
        <v>433</v>
      </c>
      <c r="E128" s="5" t="s">
        <v>168</v>
      </c>
      <c r="F128" s="6" t="s">
        <v>316</v>
      </c>
      <c r="G128" s="6"/>
      <c r="H128" s="6"/>
      <c r="I128" s="6" t="s">
        <v>323</v>
      </c>
      <c r="J128" s="112" t="s">
        <v>351</v>
      </c>
      <c r="K128" s="19" t="s">
        <v>79</v>
      </c>
      <c r="L128" s="27"/>
    </row>
    <row r="129" spans="1:12" x14ac:dyDescent="0.35">
      <c r="A129" s="90">
        <v>121</v>
      </c>
      <c r="B129" s="5" t="s">
        <v>16</v>
      </c>
      <c r="C129" s="91" t="s">
        <v>155</v>
      </c>
      <c r="D129" s="5" t="s">
        <v>433</v>
      </c>
      <c r="E129" s="5" t="s">
        <v>168</v>
      </c>
      <c r="F129" s="5" t="s">
        <v>354</v>
      </c>
      <c r="G129" s="5"/>
      <c r="H129" s="5"/>
      <c r="I129" s="6" t="s">
        <v>318</v>
      </c>
      <c r="J129" s="5" t="s">
        <v>352</v>
      </c>
      <c r="K129" s="19" t="s">
        <v>26</v>
      </c>
      <c r="L129" s="27"/>
    </row>
    <row r="130" spans="1:12" x14ac:dyDescent="0.35">
      <c r="A130" s="90">
        <v>122</v>
      </c>
      <c r="B130" s="5" t="s">
        <v>16</v>
      </c>
      <c r="C130" s="91" t="s">
        <v>155</v>
      </c>
      <c r="D130" s="5" t="s">
        <v>433</v>
      </c>
      <c r="E130" s="5" t="s">
        <v>168</v>
      </c>
      <c r="F130" s="5" t="s">
        <v>139</v>
      </c>
      <c r="G130" s="5"/>
      <c r="H130" s="5" t="s">
        <v>2</v>
      </c>
      <c r="I130" s="6" t="s">
        <v>333</v>
      </c>
      <c r="J130" s="113" t="s">
        <v>353</v>
      </c>
      <c r="K130" s="19" t="s">
        <v>79</v>
      </c>
      <c r="L130" s="27"/>
    </row>
    <row r="131" spans="1:12" x14ac:dyDescent="0.35">
      <c r="A131" s="90">
        <v>123</v>
      </c>
      <c r="B131" s="5" t="s">
        <v>16</v>
      </c>
      <c r="C131" s="91" t="s">
        <v>155</v>
      </c>
      <c r="D131" s="5" t="s">
        <v>433</v>
      </c>
      <c r="E131" s="5" t="s">
        <v>168</v>
      </c>
      <c r="F131" s="5" t="s">
        <v>140</v>
      </c>
      <c r="G131" s="5"/>
      <c r="H131" s="5"/>
      <c r="I131" s="6" t="s">
        <v>323</v>
      </c>
      <c r="J131" s="5" t="s">
        <v>581</v>
      </c>
      <c r="K131" s="19" t="s">
        <v>79</v>
      </c>
      <c r="L131" s="27"/>
    </row>
    <row r="132" spans="1:12" s="7" customFormat="1" x14ac:dyDescent="0.35">
      <c r="A132" s="90">
        <v>124</v>
      </c>
      <c r="B132" s="5" t="s">
        <v>16</v>
      </c>
      <c r="C132" s="5" t="s">
        <v>155</v>
      </c>
      <c r="D132" s="5" t="s">
        <v>433</v>
      </c>
      <c r="E132" s="5" t="s">
        <v>168</v>
      </c>
      <c r="F132" s="10" t="s">
        <v>122</v>
      </c>
      <c r="G132" s="6"/>
      <c r="H132" s="6"/>
      <c r="I132" s="6" t="s">
        <v>318</v>
      </c>
      <c r="J132" s="6" t="s">
        <v>582</v>
      </c>
      <c r="K132" s="20" t="s">
        <v>26</v>
      </c>
      <c r="L132" s="27" t="s">
        <v>348</v>
      </c>
    </row>
    <row r="133" spans="1:12" x14ac:dyDescent="0.35">
      <c r="A133" s="90">
        <v>125</v>
      </c>
      <c r="B133" s="5" t="s">
        <v>16</v>
      </c>
      <c r="C133" s="5" t="s">
        <v>155</v>
      </c>
      <c r="D133" s="5" t="s">
        <v>433</v>
      </c>
      <c r="E133" s="5" t="s">
        <v>168</v>
      </c>
      <c r="F133" s="5" t="s">
        <v>137</v>
      </c>
      <c r="G133" s="5"/>
      <c r="H133" s="5"/>
      <c r="I133" s="6" t="s">
        <v>318</v>
      </c>
      <c r="J133" s="5" t="s">
        <v>583</v>
      </c>
      <c r="K133" s="19" t="s">
        <v>26</v>
      </c>
      <c r="L133" s="27"/>
    </row>
    <row r="134" spans="1:12" s="7" customFormat="1" x14ac:dyDescent="0.35">
      <c r="A134" s="90">
        <v>126</v>
      </c>
      <c r="B134" s="5" t="s">
        <v>16</v>
      </c>
      <c r="C134" s="5" t="s">
        <v>155</v>
      </c>
      <c r="D134" s="5" t="s">
        <v>433</v>
      </c>
      <c r="E134" s="5" t="s">
        <v>168</v>
      </c>
      <c r="F134" s="6" t="s">
        <v>120</v>
      </c>
      <c r="G134" s="6"/>
      <c r="H134" s="6"/>
      <c r="I134" s="6" t="s">
        <v>318</v>
      </c>
      <c r="J134" s="6" t="s">
        <v>355</v>
      </c>
      <c r="K134" s="20" t="s">
        <v>26</v>
      </c>
      <c r="L134" s="27"/>
    </row>
    <row r="135" spans="1:12" s="7" customFormat="1" ht="31" x14ac:dyDescent="0.35">
      <c r="A135" s="90">
        <v>127</v>
      </c>
      <c r="B135" s="5" t="s">
        <v>16</v>
      </c>
      <c r="C135" s="5" t="s">
        <v>155</v>
      </c>
      <c r="D135" s="5" t="s">
        <v>433</v>
      </c>
      <c r="E135" s="5" t="s">
        <v>168</v>
      </c>
      <c r="F135" s="104" t="s">
        <v>161</v>
      </c>
      <c r="G135" s="6"/>
      <c r="H135" s="6"/>
      <c r="I135" s="10" t="s">
        <v>417</v>
      </c>
      <c r="J135" s="6" t="s">
        <v>579</v>
      </c>
      <c r="K135" s="20" t="s">
        <v>79</v>
      </c>
      <c r="L135" s="27"/>
    </row>
    <row r="136" spans="1:12" s="7" customFormat="1" x14ac:dyDescent="0.35">
      <c r="A136" s="90">
        <v>128</v>
      </c>
      <c r="B136" s="5" t="s">
        <v>16</v>
      </c>
      <c r="C136" s="5" t="s">
        <v>155</v>
      </c>
      <c r="D136" s="5" t="s">
        <v>433</v>
      </c>
      <c r="E136" s="5" t="s">
        <v>168</v>
      </c>
      <c r="F136" s="104" t="s">
        <v>358</v>
      </c>
      <c r="G136" s="6"/>
      <c r="H136" s="6"/>
      <c r="I136" s="104" t="s">
        <v>319</v>
      </c>
      <c r="J136" s="104"/>
      <c r="K136" s="20" t="s">
        <v>26</v>
      </c>
      <c r="L136" s="27"/>
    </row>
    <row r="137" spans="1:12" s="7" customFormat="1" x14ac:dyDescent="0.35">
      <c r="A137" s="90">
        <v>129</v>
      </c>
      <c r="B137" s="5" t="s">
        <v>16</v>
      </c>
      <c r="C137" s="5" t="s">
        <v>155</v>
      </c>
      <c r="D137" s="5" t="s">
        <v>433</v>
      </c>
      <c r="E137" s="5" t="s">
        <v>168</v>
      </c>
      <c r="F137" s="104" t="s">
        <v>271</v>
      </c>
      <c r="G137" s="6"/>
      <c r="H137" s="6"/>
      <c r="I137" s="104" t="s">
        <v>333</v>
      </c>
      <c r="J137" s="104"/>
      <c r="K137" s="20" t="s">
        <v>26</v>
      </c>
      <c r="L137" s="27"/>
    </row>
    <row r="138" spans="1:12" x14ac:dyDescent="0.35">
      <c r="A138" s="90">
        <v>130</v>
      </c>
      <c r="B138" s="5" t="s">
        <v>16</v>
      </c>
      <c r="C138" s="5" t="s">
        <v>155</v>
      </c>
      <c r="D138" s="5" t="s">
        <v>433</v>
      </c>
      <c r="E138" s="5" t="s">
        <v>168</v>
      </c>
      <c r="F138" s="91" t="s">
        <v>315</v>
      </c>
      <c r="G138" s="5"/>
      <c r="H138" s="5" t="s">
        <v>85</v>
      </c>
      <c r="I138" s="6" t="s">
        <v>323</v>
      </c>
      <c r="J138" s="5" t="s">
        <v>356</v>
      </c>
      <c r="K138" s="19" t="s">
        <v>79</v>
      </c>
      <c r="L138" s="27"/>
    </row>
    <row r="139" spans="1:12" s="7" customFormat="1" x14ac:dyDescent="0.35">
      <c r="A139" s="90">
        <v>131</v>
      </c>
      <c r="B139" s="5" t="s">
        <v>16</v>
      </c>
      <c r="C139" s="5" t="s">
        <v>155</v>
      </c>
      <c r="D139" s="5" t="s">
        <v>433</v>
      </c>
      <c r="E139" s="5" t="s">
        <v>168</v>
      </c>
      <c r="F139" s="6" t="s">
        <v>121</v>
      </c>
      <c r="G139" s="6"/>
      <c r="H139" s="6" t="s">
        <v>85</v>
      </c>
      <c r="I139" s="6" t="s">
        <v>323</v>
      </c>
      <c r="J139" s="6" t="s">
        <v>136</v>
      </c>
      <c r="K139" s="20" t="s">
        <v>26</v>
      </c>
      <c r="L139" s="27"/>
    </row>
    <row r="140" spans="1:12" x14ac:dyDescent="0.35">
      <c r="A140" s="90">
        <v>132</v>
      </c>
      <c r="B140" s="5" t="s">
        <v>16</v>
      </c>
      <c r="C140" s="5" t="s">
        <v>155</v>
      </c>
      <c r="D140" s="5" t="s">
        <v>433</v>
      </c>
      <c r="E140" s="5" t="s">
        <v>168</v>
      </c>
      <c r="F140" s="5" t="s">
        <v>165</v>
      </c>
      <c r="G140" s="5"/>
      <c r="H140" s="5"/>
      <c r="I140" s="6" t="s">
        <v>318</v>
      </c>
      <c r="J140" s="6" t="s">
        <v>584</v>
      </c>
      <c r="K140" s="19" t="s">
        <v>26</v>
      </c>
      <c r="L140" s="27"/>
    </row>
    <row r="141" spans="1:12" x14ac:dyDescent="0.35">
      <c r="A141" s="90">
        <v>133</v>
      </c>
      <c r="B141" s="5" t="s">
        <v>16</v>
      </c>
      <c r="C141" s="5" t="s">
        <v>155</v>
      </c>
      <c r="D141" s="5" t="s">
        <v>433</v>
      </c>
      <c r="E141" s="5" t="s">
        <v>168</v>
      </c>
      <c r="F141" s="5" t="s">
        <v>166</v>
      </c>
      <c r="G141" s="5"/>
      <c r="H141" s="5"/>
      <c r="I141" s="6" t="s">
        <v>318</v>
      </c>
      <c r="J141" s="113" t="s">
        <v>357</v>
      </c>
      <c r="K141" s="19" t="s">
        <v>26</v>
      </c>
      <c r="L141" s="27"/>
    </row>
    <row r="142" spans="1:12" x14ac:dyDescent="0.35">
      <c r="A142" s="90">
        <v>134</v>
      </c>
      <c r="B142" s="5" t="s">
        <v>16</v>
      </c>
      <c r="C142" s="5" t="s">
        <v>155</v>
      </c>
      <c r="D142" s="5" t="s">
        <v>433</v>
      </c>
      <c r="E142" s="5" t="s">
        <v>168</v>
      </c>
      <c r="F142" s="5" t="s">
        <v>141</v>
      </c>
      <c r="G142" s="5"/>
      <c r="H142" s="5"/>
      <c r="I142" s="6" t="s">
        <v>318</v>
      </c>
      <c r="J142" s="5" t="s">
        <v>585</v>
      </c>
      <c r="K142" s="19" t="s">
        <v>26</v>
      </c>
      <c r="L142" s="27"/>
    </row>
    <row r="143" spans="1:12" s="7" customFormat="1" ht="31" x14ac:dyDescent="0.35">
      <c r="A143" s="90"/>
      <c r="B143" s="5" t="s">
        <v>16</v>
      </c>
      <c r="C143" s="5" t="s">
        <v>155</v>
      </c>
      <c r="D143" s="5" t="s">
        <v>433</v>
      </c>
      <c r="E143" s="93" t="s">
        <v>168</v>
      </c>
      <c r="F143" s="114"/>
      <c r="G143" s="87"/>
      <c r="H143" s="87"/>
      <c r="I143" s="87"/>
      <c r="J143" s="13"/>
      <c r="K143" s="21"/>
      <c r="L143" s="68" t="s">
        <v>436</v>
      </c>
    </row>
    <row r="144" spans="1:12" s="7" customFormat="1" x14ac:dyDescent="0.35">
      <c r="A144" s="90">
        <v>135</v>
      </c>
      <c r="B144" s="5" t="s">
        <v>16</v>
      </c>
      <c r="C144" s="5" t="s">
        <v>155</v>
      </c>
      <c r="D144" s="5" t="s">
        <v>433</v>
      </c>
      <c r="E144" s="91" t="s">
        <v>158</v>
      </c>
      <c r="F144" s="10" t="s">
        <v>142</v>
      </c>
      <c r="G144" s="6"/>
      <c r="H144" s="6"/>
      <c r="I144" s="6" t="s">
        <v>318</v>
      </c>
      <c r="J144" s="6" t="s">
        <v>66</v>
      </c>
      <c r="K144" s="20" t="s">
        <v>26</v>
      </c>
      <c r="L144" s="27" t="s">
        <v>348</v>
      </c>
    </row>
    <row r="145" spans="1:12" x14ac:dyDescent="0.35">
      <c r="A145" s="90">
        <v>136</v>
      </c>
      <c r="B145" s="5" t="s">
        <v>16</v>
      </c>
      <c r="C145" s="5" t="s">
        <v>155</v>
      </c>
      <c r="D145" s="5" t="s">
        <v>433</v>
      </c>
      <c r="E145" s="91" t="s">
        <v>158</v>
      </c>
      <c r="F145" s="5" t="s">
        <v>138</v>
      </c>
      <c r="G145" s="5"/>
      <c r="H145" s="5"/>
      <c r="I145" s="5" t="s">
        <v>318</v>
      </c>
      <c r="J145" s="5" t="s">
        <v>527</v>
      </c>
      <c r="K145" s="19" t="s">
        <v>79</v>
      </c>
      <c r="L145" s="27"/>
    </row>
    <row r="146" spans="1:12" ht="31" x14ac:dyDescent="0.35">
      <c r="A146" s="90">
        <v>137</v>
      </c>
      <c r="B146" s="5" t="s">
        <v>16</v>
      </c>
      <c r="C146" s="5" t="s">
        <v>155</v>
      </c>
      <c r="D146" s="5" t="s">
        <v>433</v>
      </c>
      <c r="E146" s="91" t="s">
        <v>158</v>
      </c>
      <c r="F146" s="104" t="s">
        <v>161</v>
      </c>
      <c r="G146" s="104"/>
      <c r="H146" s="104"/>
      <c r="I146" s="10" t="s">
        <v>417</v>
      </c>
      <c r="J146" s="104" t="s">
        <v>579</v>
      </c>
      <c r="K146" s="19" t="s">
        <v>79</v>
      </c>
      <c r="L146" s="27"/>
    </row>
    <row r="147" spans="1:12" x14ac:dyDescent="0.35">
      <c r="A147" s="90">
        <v>138</v>
      </c>
      <c r="B147" s="5" t="s">
        <v>16</v>
      </c>
      <c r="C147" s="5" t="s">
        <v>155</v>
      </c>
      <c r="D147" s="5" t="s">
        <v>433</v>
      </c>
      <c r="E147" s="91" t="s">
        <v>158</v>
      </c>
      <c r="F147" s="104" t="s">
        <v>358</v>
      </c>
      <c r="G147" s="104"/>
      <c r="H147" s="104"/>
      <c r="I147" s="104" t="s">
        <v>319</v>
      </c>
      <c r="J147" s="104"/>
      <c r="K147" s="20" t="s">
        <v>26</v>
      </c>
      <c r="L147" s="27"/>
    </row>
    <row r="148" spans="1:12" x14ac:dyDescent="0.35">
      <c r="A148" s="90">
        <v>139</v>
      </c>
      <c r="B148" s="5" t="s">
        <v>16</v>
      </c>
      <c r="C148" s="5" t="s">
        <v>155</v>
      </c>
      <c r="D148" s="5" t="s">
        <v>433</v>
      </c>
      <c r="E148" s="91" t="s">
        <v>158</v>
      </c>
      <c r="F148" s="104" t="s">
        <v>271</v>
      </c>
      <c r="G148" s="104"/>
      <c r="H148" s="104"/>
      <c r="I148" s="104" t="s">
        <v>333</v>
      </c>
      <c r="J148" s="104"/>
      <c r="K148" s="20" t="s">
        <v>26</v>
      </c>
      <c r="L148" s="27"/>
    </row>
    <row r="149" spans="1:12" x14ac:dyDescent="0.35">
      <c r="A149" s="90">
        <v>140</v>
      </c>
      <c r="B149" s="5" t="s">
        <v>16</v>
      </c>
      <c r="C149" s="5" t="s">
        <v>155</v>
      </c>
      <c r="D149" s="5" t="s">
        <v>433</v>
      </c>
      <c r="E149" s="91" t="s">
        <v>158</v>
      </c>
      <c r="F149" s="5" t="s">
        <v>137</v>
      </c>
      <c r="G149" s="5"/>
      <c r="H149" s="5"/>
      <c r="I149" s="5" t="s">
        <v>320</v>
      </c>
      <c r="J149" s="5" t="s">
        <v>359</v>
      </c>
      <c r="K149" s="19" t="s">
        <v>26</v>
      </c>
      <c r="L149" s="27"/>
    </row>
    <row r="150" spans="1:12" x14ac:dyDescent="0.35">
      <c r="A150" s="90">
        <v>141</v>
      </c>
      <c r="B150" s="5" t="s">
        <v>16</v>
      </c>
      <c r="C150" s="5" t="s">
        <v>155</v>
      </c>
      <c r="D150" s="5" t="s">
        <v>433</v>
      </c>
      <c r="E150" s="91" t="s">
        <v>158</v>
      </c>
      <c r="F150" s="6" t="s">
        <v>120</v>
      </c>
      <c r="G150" s="6"/>
      <c r="H150" s="6"/>
      <c r="I150" s="6" t="s">
        <v>318</v>
      </c>
      <c r="J150" s="6" t="s">
        <v>360</v>
      </c>
      <c r="K150" s="19" t="s">
        <v>26</v>
      </c>
      <c r="L150" s="27"/>
    </row>
    <row r="151" spans="1:12" x14ac:dyDescent="0.35">
      <c r="A151" s="90">
        <v>142</v>
      </c>
      <c r="B151" s="5" t="s">
        <v>16</v>
      </c>
      <c r="C151" s="5" t="s">
        <v>155</v>
      </c>
      <c r="D151" s="5" t="s">
        <v>433</v>
      </c>
      <c r="E151" s="91" t="s">
        <v>158</v>
      </c>
      <c r="F151" s="91" t="s">
        <v>315</v>
      </c>
      <c r="G151" s="5"/>
      <c r="H151" s="5" t="s">
        <v>85</v>
      </c>
      <c r="I151" s="6" t="s">
        <v>323</v>
      </c>
      <c r="J151" s="5" t="s">
        <v>356</v>
      </c>
      <c r="K151" s="19" t="s">
        <v>79</v>
      </c>
      <c r="L151" s="30"/>
    </row>
    <row r="152" spans="1:12" x14ac:dyDescent="0.35">
      <c r="A152" s="90">
        <v>143</v>
      </c>
      <c r="B152" s="5" t="s">
        <v>16</v>
      </c>
      <c r="C152" s="5" t="s">
        <v>155</v>
      </c>
      <c r="D152" s="93" t="s">
        <v>433</v>
      </c>
      <c r="E152" s="103" t="s">
        <v>158</v>
      </c>
      <c r="F152" s="87" t="s">
        <v>121</v>
      </c>
      <c r="G152" s="93"/>
      <c r="H152" s="87" t="s">
        <v>85</v>
      </c>
      <c r="I152" s="6" t="s">
        <v>323</v>
      </c>
      <c r="J152" s="93" t="s">
        <v>167</v>
      </c>
      <c r="K152" s="22" t="s">
        <v>26</v>
      </c>
      <c r="L152" s="22"/>
    </row>
    <row r="153" spans="1:12" x14ac:dyDescent="0.35">
      <c r="A153" s="90">
        <v>144</v>
      </c>
      <c r="B153" s="5" t="s">
        <v>16</v>
      </c>
      <c r="C153" s="5" t="s">
        <v>155</v>
      </c>
      <c r="D153" s="91" t="s">
        <v>437</v>
      </c>
      <c r="E153" s="111"/>
      <c r="F153" s="111" t="s">
        <v>287</v>
      </c>
      <c r="G153" s="111"/>
      <c r="H153" s="111"/>
      <c r="I153" s="111" t="s">
        <v>318</v>
      </c>
      <c r="J153" s="115" t="s">
        <v>292</v>
      </c>
      <c r="K153" s="18" t="s">
        <v>26</v>
      </c>
      <c r="L153" s="27"/>
    </row>
    <row r="154" spans="1:12" x14ac:dyDescent="0.35">
      <c r="A154" s="90">
        <v>145</v>
      </c>
      <c r="B154" s="5" t="s">
        <v>16</v>
      </c>
      <c r="C154" s="5" t="s">
        <v>155</v>
      </c>
      <c r="D154" s="91" t="s">
        <v>437</v>
      </c>
      <c r="E154" s="5"/>
      <c r="F154" s="5" t="s">
        <v>366</v>
      </c>
      <c r="G154" s="5"/>
      <c r="H154" s="5"/>
      <c r="I154" s="5" t="s">
        <v>318</v>
      </c>
      <c r="J154" s="112" t="s">
        <v>368</v>
      </c>
      <c r="K154" s="19" t="s">
        <v>26</v>
      </c>
      <c r="L154" s="27"/>
    </row>
    <row r="155" spans="1:12" x14ac:dyDescent="0.35">
      <c r="A155" s="90">
        <v>146</v>
      </c>
      <c r="B155" s="5" t="s">
        <v>16</v>
      </c>
      <c r="C155" s="5" t="s">
        <v>155</v>
      </c>
      <c r="D155" s="91" t="s">
        <v>437</v>
      </c>
      <c r="E155" s="93"/>
      <c r="F155" s="93" t="s">
        <v>367</v>
      </c>
      <c r="G155" s="93"/>
      <c r="H155" s="93"/>
      <c r="I155" s="93" t="s">
        <v>318</v>
      </c>
      <c r="J155" s="116" t="s">
        <v>369</v>
      </c>
      <c r="K155" s="22" t="s">
        <v>26</v>
      </c>
      <c r="L155" s="22"/>
    </row>
    <row r="156" spans="1:12" s="7" customFormat="1" x14ac:dyDescent="0.35">
      <c r="A156" s="90">
        <v>147</v>
      </c>
      <c r="B156" s="5" t="s">
        <v>16</v>
      </c>
      <c r="C156" s="5" t="s">
        <v>155</v>
      </c>
      <c r="D156" s="91" t="s">
        <v>437</v>
      </c>
      <c r="E156" s="5" t="s">
        <v>281</v>
      </c>
      <c r="F156" s="100" t="s">
        <v>169</v>
      </c>
      <c r="G156" s="6"/>
      <c r="H156" s="6"/>
      <c r="I156" s="6" t="s">
        <v>318</v>
      </c>
      <c r="J156" s="6" t="s">
        <v>361</v>
      </c>
      <c r="K156" s="19" t="s">
        <v>26</v>
      </c>
      <c r="L156" s="14" t="s">
        <v>364</v>
      </c>
    </row>
    <row r="157" spans="1:12" s="7" customFormat="1" x14ac:dyDescent="0.35">
      <c r="A157" s="90">
        <v>148</v>
      </c>
      <c r="B157" s="5" t="s">
        <v>16</v>
      </c>
      <c r="C157" s="5" t="s">
        <v>155</v>
      </c>
      <c r="D157" s="91" t="s">
        <v>437</v>
      </c>
      <c r="E157" s="5" t="s">
        <v>281</v>
      </c>
      <c r="F157" s="6" t="s">
        <v>192</v>
      </c>
      <c r="G157" s="6"/>
      <c r="H157" s="6"/>
      <c r="I157" s="6" t="s">
        <v>318</v>
      </c>
      <c r="J157" s="10" t="s">
        <v>362</v>
      </c>
      <c r="K157" s="19" t="s">
        <v>26</v>
      </c>
      <c r="L157" s="14"/>
    </row>
    <row r="158" spans="1:12" s="7" customFormat="1" x14ac:dyDescent="0.35">
      <c r="A158" s="90">
        <v>149</v>
      </c>
      <c r="B158" s="5" t="s">
        <v>16</v>
      </c>
      <c r="C158" s="5" t="s">
        <v>155</v>
      </c>
      <c r="D158" s="91" t="s">
        <v>437</v>
      </c>
      <c r="E158" s="91" t="s">
        <v>281</v>
      </c>
      <c r="F158" s="6" t="s">
        <v>170</v>
      </c>
      <c r="G158" s="6"/>
      <c r="H158" s="6"/>
      <c r="I158" s="6" t="s">
        <v>318</v>
      </c>
      <c r="J158" s="10" t="s">
        <v>363</v>
      </c>
      <c r="K158" s="19" t="s">
        <v>26</v>
      </c>
      <c r="L158" s="27"/>
    </row>
    <row r="159" spans="1:12" s="7" customFormat="1" x14ac:dyDescent="0.35">
      <c r="A159" s="90">
        <v>150</v>
      </c>
      <c r="B159" s="5" t="s">
        <v>16</v>
      </c>
      <c r="C159" s="5" t="s">
        <v>155</v>
      </c>
      <c r="D159" s="91" t="s">
        <v>437</v>
      </c>
      <c r="E159" s="5" t="s">
        <v>281</v>
      </c>
      <c r="F159" s="6" t="s">
        <v>280</v>
      </c>
      <c r="G159" s="6"/>
      <c r="H159" s="6"/>
      <c r="I159" s="6" t="s">
        <v>323</v>
      </c>
      <c r="J159" s="10" t="s">
        <v>400</v>
      </c>
      <c r="K159" s="19" t="s">
        <v>79</v>
      </c>
      <c r="L159" s="14"/>
    </row>
    <row r="160" spans="1:12" s="7" customFormat="1" x14ac:dyDescent="0.35">
      <c r="A160" s="90">
        <v>151</v>
      </c>
      <c r="B160" s="5" t="s">
        <v>16</v>
      </c>
      <c r="C160" s="5" t="s">
        <v>155</v>
      </c>
      <c r="D160" s="91" t="s">
        <v>437</v>
      </c>
      <c r="E160" s="5" t="s">
        <v>281</v>
      </c>
      <c r="F160" s="6" t="s">
        <v>44</v>
      </c>
      <c r="G160" s="6"/>
      <c r="H160" s="6"/>
      <c r="I160" s="6" t="s">
        <v>323</v>
      </c>
      <c r="J160" s="95" t="s">
        <v>365</v>
      </c>
      <c r="K160" s="19" t="s">
        <v>79</v>
      </c>
      <c r="L160" s="27"/>
    </row>
    <row r="161" spans="1:12" s="7" customFormat="1" x14ac:dyDescent="0.35">
      <c r="A161" s="90">
        <v>152</v>
      </c>
      <c r="B161" s="5" t="s">
        <v>16</v>
      </c>
      <c r="C161" s="5" t="s">
        <v>155</v>
      </c>
      <c r="D161" s="91" t="s">
        <v>437</v>
      </c>
      <c r="E161" s="5" t="s">
        <v>281</v>
      </c>
      <c r="F161" s="10" t="s">
        <v>289</v>
      </c>
      <c r="G161" s="6"/>
      <c r="H161" s="6"/>
      <c r="I161" s="6" t="s">
        <v>318</v>
      </c>
      <c r="J161" s="10" t="s">
        <v>370</v>
      </c>
      <c r="K161" s="20" t="s">
        <v>79</v>
      </c>
      <c r="L161" s="27"/>
    </row>
    <row r="162" spans="1:12" s="7" customFormat="1" x14ac:dyDescent="0.35">
      <c r="A162" s="90">
        <v>153</v>
      </c>
      <c r="B162" s="5" t="s">
        <v>16</v>
      </c>
      <c r="C162" s="5" t="s">
        <v>155</v>
      </c>
      <c r="D162" s="91" t="s">
        <v>437</v>
      </c>
      <c r="E162" s="5" t="s">
        <v>281</v>
      </c>
      <c r="F162" s="6" t="s">
        <v>279</v>
      </c>
      <c r="G162" s="6"/>
      <c r="H162" s="6"/>
      <c r="I162" s="6" t="s">
        <v>323</v>
      </c>
      <c r="J162" s="6"/>
      <c r="K162" s="19" t="s">
        <v>79</v>
      </c>
      <c r="L162" s="27"/>
    </row>
    <row r="163" spans="1:12" s="7" customFormat="1" x14ac:dyDescent="0.35">
      <c r="A163" s="90">
        <v>154</v>
      </c>
      <c r="B163" s="5" t="s">
        <v>16</v>
      </c>
      <c r="C163" s="5" t="s">
        <v>155</v>
      </c>
      <c r="D163" s="91" t="s">
        <v>437</v>
      </c>
      <c r="E163" s="5" t="s">
        <v>281</v>
      </c>
      <c r="F163" s="10" t="s">
        <v>31</v>
      </c>
      <c r="G163" s="6"/>
      <c r="H163" s="6" t="s">
        <v>194</v>
      </c>
      <c r="I163" s="6" t="s">
        <v>333</v>
      </c>
      <c r="J163" s="112" t="s">
        <v>371</v>
      </c>
      <c r="K163" s="19" t="s">
        <v>26</v>
      </c>
      <c r="L163" s="27"/>
    </row>
    <row r="164" spans="1:12" s="7" customFormat="1" x14ac:dyDescent="0.35">
      <c r="A164" s="90">
        <v>155</v>
      </c>
      <c r="B164" s="5" t="s">
        <v>16</v>
      </c>
      <c r="C164" s="5" t="s">
        <v>155</v>
      </c>
      <c r="D164" s="91" t="s">
        <v>437</v>
      </c>
      <c r="E164" s="5" t="s">
        <v>281</v>
      </c>
      <c r="F164" s="10" t="s">
        <v>32</v>
      </c>
      <c r="G164" s="6"/>
      <c r="H164" s="6" t="s">
        <v>586</v>
      </c>
      <c r="I164" s="6" t="s">
        <v>333</v>
      </c>
      <c r="J164" s="66" t="s">
        <v>372</v>
      </c>
      <c r="K164" s="19" t="s">
        <v>26</v>
      </c>
      <c r="L164" s="27"/>
    </row>
    <row r="165" spans="1:12" s="7" customFormat="1" x14ac:dyDescent="0.35">
      <c r="A165" s="90">
        <v>156</v>
      </c>
      <c r="B165" s="5" t="s">
        <v>16</v>
      </c>
      <c r="C165" s="5" t="s">
        <v>155</v>
      </c>
      <c r="D165" s="91" t="s">
        <v>437</v>
      </c>
      <c r="E165" s="5" t="s">
        <v>281</v>
      </c>
      <c r="F165" s="10" t="s">
        <v>291</v>
      </c>
      <c r="G165" s="6"/>
      <c r="H165" s="6" t="s">
        <v>2</v>
      </c>
      <c r="I165" s="6" t="s">
        <v>333</v>
      </c>
      <c r="J165" s="6">
        <v>25</v>
      </c>
      <c r="K165" s="19" t="s">
        <v>26</v>
      </c>
      <c r="L165" s="27"/>
    </row>
    <row r="166" spans="1:12" s="7" customFormat="1" x14ac:dyDescent="0.35">
      <c r="A166" s="90">
        <v>157</v>
      </c>
      <c r="B166" s="5" t="s">
        <v>16</v>
      </c>
      <c r="C166" s="5" t="s">
        <v>155</v>
      </c>
      <c r="D166" s="91" t="s">
        <v>437</v>
      </c>
      <c r="E166" s="5" t="s">
        <v>281</v>
      </c>
      <c r="F166" s="6" t="s">
        <v>293</v>
      </c>
      <c r="G166" s="6"/>
      <c r="H166" s="6"/>
      <c r="I166" s="6" t="s">
        <v>318</v>
      </c>
      <c r="J166" s="6" t="s">
        <v>66</v>
      </c>
      <c r="K166" s="20" t="s">
        <v>26</v>
      </c>
      <c r="L166" s="27" t="s">
        <v>348</v>
      </c>
    </row>
    <row r="167" spans="1:12" s="7" customFormat="1" ht="31" x14ac:dyDescent="0.35">
      <c r="A167" s="90">
        <v>158</v>
      </c>
      <c r="B167" s="5" t="s">
        <v>16</v>
      </c>
      <c r="C167" s="5" t="s">
        <v>155</v>
      </c>
      <c r="D167" s="91" t="s">
        <v>437</v>
      </c>
      <c r="E167" s="5" t="s">
        <v>281</v>
      </c>
      <c r="F167" s="104" t="s">
        <v>161</v>
      </c>
      <c r="G167" s="104"/>
      <c r="H167" s="104"/>
      <c r="I167" s="10" t="s">
        <v>417</v>
      </c>
      <c r="J167" s="104" t="s">
        <v>579</v>
      </c>
      <c r="K167" s="20" t="s">
        <v>79</v>
      </c>
      <c r="L167" s="27"/>
    </row>
    <row r="168" spans="1:12" x14ac:dyDescent="0.35">
      <c r="A168" s="90">
        <v>159</v>
      </c>
      <c r="B168" s="5" t="s">
        <v>16</v>
      </c>
      <c r="C168" s="5" t="s">
        <v>155</v>
      </c>
      <c r="D168" s="91" t="s">
        <v>437</v>
      </c>
      <c r="E168" s="5" t="s">
        <v>281</v>
      </c>
      <c r="F168" s="104" t="s">
        <v>358</v>
      </c>
      <c r="G168" s="104"/>
      <c r="H168" s="104"/>
      <c r="I168" s="104" t="s">
        <v>319</v>
      </c>
      <c r="J168" s="104"/>
      <c r="K168" s="20" t="s">
        <v>26</v>
      </c>
      <c r="L168" s="27"/>
    </row>
    <row r="169" spans="1:12" x14ac:dyDescent="0.35">
      <c r="A169" s="90">
        <v>160</v>
      </c>
      <c r="B169" s="5" t="s">
        <v>16</v>
      </c>
      <c r="C169" s="5" t="s">
        <v>155</v>
      </c>
      <c r="D169" s="91" t="s">
        <v>437</v>
      </c>
      <c r="E169" s="5" t="s">
        <v>281</v>
      </c>
      <c r="F169" s="104" t="s">
        <v>271</v>
      </c>
      <c r="G169" s="104"/>
      <c r="H169" s="104"/>
      <c r="I169" s="104" t="s">
        <v>333</v>
      </c>
      <c r="J169" s="104"/>
      <c r="K169" s="20" t="s">
        <v>26</v>
      </c>
      <c r="L169" s="27"/>
    </row>
    <row r="170" spans="1:12" s="7" customFormat="1" x14ac:dyDescent="0.35">
      <c r="A170" s="90">
        <v>161</v>
      </c>
      <c r="B170" s="5" t="s">
        <v>16</v>
      </c>
      <c r="C170" s="5" t="s">
        <v>155</v>
      </c>
      <c r="D170" s="91" t="s">
        <v>437</v>
      </c>
      <c r="E170" s="5" t="s">
        <v>281</v>
      </c>
      <c r="F170" s="6" t="s">
        <v>119</v>
      </c>
      <c r="G170" s="6"/>
      <c r="H170" s="6"/>
      <c r="I170" s="6" t="s">
        <v>323</v>
      </c>
      <c r="J170" s="6" t="s">
        <v>373</v>
      </c>
      <c r="K170" s="20" t="s">
        <v>26</v>
      </c>
      <c r="L170" s="27"/>
    </row>
    <row r="171" spans="1:12" s="7" customFormat="1" x14ac:dyDescent="0.35">
      <c r="A171" s="90">
        <v>162</v>
      </c>
      <c r="B171" s="5" t="s">
        <v>16</v>
      </c>
      <c r="C171" s="5" t="s">
        <v>155</v>
      </c>
      <c r="D171" s="91" t="s">
        <v>437</v>
      </c>
      <c r="E171" s="5" t="s">
        <v>281</v>
      </c>
      <c r="F171" s="6" t="s">
        <v>145</v>
      </c>
      <c r="G171" s="6"/>
      <c r="H171" s="10" t="s">
        <v>171</v>
      </c>
      <c r="I171" s="10" t="s">
        <v>333</v>
      </c>
      <c r="J171" s="10" t="s">
        <v>374</v>
      </c>
      <c r="K171" s="20" t="s">
        <v>26</v>
      </c>
      <c r="L171" s="27"/>
    </row>
    <row r="172" spans="1:12" s="7" customFormat="1" x14ac:dyDescent="0.35">
      <c r="A172" s="90">
        <v>163</v>
      </c>
      <c r="B172" s="5" t="s">
        <v>16</v>
      </c>
      <c r="C172" s="5" t="s">
        <v>155</v>
      </c>
      <c r="D172" s="91" t="s">
        <v>437</v>
      </c>
      <c r="E172" s="93" t="s">
        <v>281</v>
      </c>
      <c r="F172" s="87" t="s">
        <v>120</v>
      </c>
      <c r="G172" s="87"/>
      <c r="H172" s="87"/>
      <c r="I172" s="87" t="s">
        <v>323</v>
      </c>
      <c r="J172" s="13" t="s">
        <v>401</v>
      </c>
      <c r="K172" s="21" t="s">
        <v>26</v>
      </c>
      <c r="L172" s="22"/>
    </row>
    <row r="173" spans="1:12" s="7" customFormat="1" ht="31" x14ac:dyDescent="0.35">
      <c r="A173" s="90"/>
      <c r="B173" s="5" t="s">
        <v>16</v>
      </c>
      <c r="C173" s="5" t="s">
        <v>155</v>
      </c>
      <c r="D173" s="91" t="s">
        <v>437</v>
      </c>
      <c r="E173" s="93" t="s">
        <v>282</v>
      </c>
      <c r="F173" s="10"/>
      <c r="G173" s="6"/>
      <c r="H173" s="6"/>
      <c r="I173" s="6"/>
      <c r="J173" s="95"/>
      <c r="K173" s="20"/>
      <c r="L173" s="126" t="s">
        <v>587</v>
      </c>
    </row>
    <row r="174" spans="1:12" s="7" customFormat="1" ht="77.5" x14ac:dyDescent="0.35">
      <c r="A174" s="90">
        <v>164</v>
      </c>
      <c r="B174" s="5" t="s">
        <v>16</v>
      </c>
      <c r="C174" s="111" t="s">
        <v>438</v>
      </c>
      <c r="D174" s="111"/>
      <c r="E174" s="111"/>
      <c r="F174" s="102" t="s">
        <v>588</v>
      </c>
      <c r="G174" s="100"/>
      <c r="H174" s="100"/>
      <c r="I174" s="100" t="s">
        <v>323</v>
      </c>
      <c r="J174" s="102"/>
      <c r="K174" s="18" t="s">
        <v>26</v>
      </c>
      <c r="L174" s="28"/>
    </row>
    <row r="175" spans="1:12" s="7" customFormat="1" ht="58.5" customHeight="1" x14ac:dyDescent="0.35">
      <c r="A175" s="90">
        <v>165</v>
      </c>
      <c r="B175" s="5" t="s">
        <v>16</v>
      </c>
      <c r="C175" s="5" t="s">
        <v>438</v>
      </c>
      <c r="D175" s="5"/>
      <c r="E175" s="5"/>
      <c r="F175" s="10" t="s">
        <v>589</v>
      </c>
      <c r="G175" s="6"/>
      <c r="H175" s="6"/>
      <c r="I175" s="6" t="s">
        <v>323</v>
      </c>
      <c r="J175" s="10"/>
      <c r="K175" s="23" t="s">
        <v>26</v>
      </c>
      <c r="L175" s="31"/>
    </row>
    <row r="176" spans="1:12" s="7" customFormat="1" ht="48.5" x14ac:dyDescent="0.35">
      <c r="A176" s="90">
        <v>166</v>
      </c>
      <c r="B176" s="5" t="s">
        <v>16</v>
      </c>
      <c r="C176" s="5" t="s">
        <v>438</v>
      </c>
      <c r="D176" s="5"/>
      <c r="E176" s="5"/>
      <c r="F176" s="10" t="s">
        <v>498</v>
      </c>
      <c r="G176" s="6"/>
      <c r="H176" s="6"/>
      <c r="I176" s="6" t="s">
        <v>323</v>
      </c>
      <c r="J176" s="10"/>
      <c r="K176" s="23" t="s">
        <v>26</v>
      </c>
      <c r="L176" s="31"/>
    </row>
    <row r="177" spans="1:12" s="7" customFormat="1" ht="31" x14ac:dyDescent="0.35">
      <c r="A177" s="90">
        <v>167</v>
      </c>
      <c r="B177" s="5" t="s">
        <v>16</v>
      </c>
      <c r="C177" s="5" t="s">
        <v>438</v>
      </c>
      <c r="D177" s="5"/>
      <c r="E177" s="5"/>
      <c r="F177" s="10" t="s">
        <v>313</v>
      </c>
      <c r="G177" s="6"/>
      <c r="H177" s="6"/>
      <c r="I177" s="6" t="s">
        <v>318</v>
      </c>
      <c r="J177" s="10" t="s">
        <v>66</v>
      </c>
      <c r="K177" s="19" t="s">
        <v>26</v>
      </c>
      <c r="L177" s="28" t="s">
        <v>346</v>
      </c>
    </row>
    <row r="178" spans="1:12" s="7" customFormat="1" x14ac:dyDescent="0.35">
      <c r="A178" s="90">
        <v>168</v>
      </c>
      <c r="B178" s="5" t="s">
        <v>16</v>
      </c>
      <c r="C178" s="5" t="s">
        <v>438</v>
      </c>
      <c r="D178" s="5"/>
      <c r="E178" s="5"/>
      <c r="F178" s="6" t="s">
        <v>306</v>
      </c>
      <c r="G178" s="6"/>
      <c r="H178" s="6"/>
      <c r="I178" s="6" t="s">
        <v>323</v>
      </c>
      <c r="J178" s="10"/>
      <c r="K178" s="19" t="s">
        <v>26</v>
      </c>
      <c r="L178" s="28"/>
    </row>
    <row r="179" spans="1:12" s="7" customFormat="1" x14ac:dyDescent="0.35">
      <c r="A179" s="90">
        <v>169</v>
      </c>
      <c r="B179" s="93" t="s">
        <v>16</v>
      </c>
      <c r="C179" s="93" t="s">
        <v>438</v>
      </c>
      <c r="D179" s="93"/>
      <c r="E179" s="93"/>
      <c r="F179" s="87" t="s">
        <v>307</v>
      </c>
      <c r="G179" s="87"/>
      <c r="H179" s="87"/>
      <c r="I179" s="13" t="s">
        <v>326</v>
      </c>
      <c r="J179" s="13"/>
      <c r="K179" s="22" t="s">
        <v>79</v>
      </c>
      <c r="L179" s="68"/>
    </row>
    <row r="180" spans="1:12" s="7" customFormat="1" x14ac:dyDescent="0.35">
      <c r="A180" s="90">
        <v>170</v>
      </c>
      <c r="B180" s="5" t="s">
        <v>17</v>
      </c>
      <c r="C180" s="5" t="s">
        <v>172</v>
      </c>
      <c r="D180" s="91" t="s">
        <v>286</v>
      </c>
      <c r="E180" s="91"/>
      <c r="F180" s="6" t="s">
        <v>10</v>
      </c>
      <c r="G180" s="6" t="s">
        <v>146</v>
      </c>
      <c r="H180" s="6" t="s">
        <v>2</v>
      </c>
      <c r="I180" s="6" t="s">
        <v>333</v>
      </c>
      <c r="J180" s="117">
        <v>6003</v>
      </c>
      <c r="K180" s="19" t="s">
        <v>26</v>
      </c>
      <c r="L180" s="29" t="s">
        <v>590</v>
      </c>
    </row>
    <row r="181" spans="1:12" s="7" customFormat="1" ht="17.5" x14ac:dyDescent="0.35">
      <c r="A181" s="90">
        <v>171</v>
      </c>
      <c r="B181" s="5" t="s">
        <v>17</v>
      </c>
      <c r="C181" s="5" t="s">
        <v>172</v>
      </c>
      <c r="D181" s="91" t="s">
        <v>286</v>
      </c>
      <c r="E181" s="91"/>
      <c r="F181" s="6" t="s">
        <v>11</v>
      </c>
      <c r="G181" s="6" t="s">
        <v>591</v>
      </c>
      <c r="H181" s="6" t="s">
        <v>2</v>
      </c>
      <c r="I181" s="6" t="s">
        <v>333</v>
      </c>
      <c r="J181" s="6">
        <v>30</v>
      </c>
      <c r="K181" s="19" t="s">
        <v>26</v>
      </c>
      <c r="L181" s="29"/>
    </row>
    <row r="182" spans="1:12" s="7" customFormat="1" ht="17.5" x14ac:dyDescent="0.35">
      <c r="A182" s="90">
        <v>172</v>
      </c>
      <c r="B182" s="5" t="s">
        <v>17</v>
      </c>
      <c r="C182" s="5" t="s">
        <v>172</v>
      </c>
      <c r="D182" s="91" t="s">
        <v>286</v>
      </c>
      <c r="E182" s="91"/>
      <c r="F182" s="6" t="s">
        <v>439</v>
      </c>
      <c r="G182" s="6" t="s">
        <v>592</v>
      </c>
      <c r="H182" s="6" t="s">
        <v>2</v>
      </c>
      <c r="I182" s="6" t="s">
        <v>333</v>
      </c>
      <c r="J182" s="6"/>
      <c r="K182" s="19" t="s">
        <v>26</v>
      </c>
      <c r="L182" s="29"/>
    </row>
    <row r="183" spans="1:12" s="7" customFormat="1" x14ac:dyDescent="0.35">
      <c r="A183" s="90">
        <v>173</v>
      </c>
      <c r="B183" s="5" t="s">
        <v>17</v>
      </c>
      <c r="C183" s="5" t="s">
        <v>172</v>
      </c>
      <c r="D183" s="91" t="s">
        <v>286</v>
      </c>
      <c r="E183" s="91"/>
      <c r="F183" s="10" t="s">
        <v>28</v>
      </c>
      <c r="G183" s="6" t="s">
        <v>593</v>
      </c>
      <c r="H183" s="6" t="s">
        <v>2</v>
      </c>
      <c r="I183" s="6" t="s">
        <v>333</v>
      </c>
      <c r="J183" s="6" t="s">
        <v>107</v>
      </c>
      <c r="K183" s="19" t="s">
        <v>26</v>
      </c>
      <c r="L183" s="29"/>
    </row>
    <row r="184" spans="1:12" s="7" customFormat="1" ht="17.5" x14ac:dyDescent="0.35">
      <c r="A184" s="90">
        <v>174</v>
      </c>
      <c r="B184" s="5" t="s">
        <v>17</v>
      </c>
      <c r="C184" s="5" t="s">
        <v>172</v>
      </c>
      <c r="D184" s="91" t="s">
        <v>286</v>
      </c>
      <c r="E184" s="91"/>
      <c r="F184" s="10" t="s">
        <v>29</v>
      </c>
      <c r="G184" s="10" t="s">
        <v>440</v>
      </c>
      <c r="H184" s="6" t="s">
        <v>2</v>
      </c>
      <c r="I184" s="6" t="s">
        <v>333</v>
      </c>
      <c r="J184" s="6">
        <v>30</v>
      </c>
      <c r="K184" s="19" t="s">
        <v>26</v>
      </c>
      <c r="L184" s="27"/>
    </row>
    <row r="185" spans="1:12" s="7" customFormat="1" ht="33" x14ac:dyDescent="0.35">
      <c r="A185" s="90">
        <v>175</v>
      </c>
      <c r="B185" s="5" t="s">
        <v>17</v>
      </c>
      <c r="C185" s="5" t="s">
        <v>172</v>
      </c>
      <c r="D185" s="91" t="s">
        <v>286</v>
      </c>
      <c r="E185" s="91"/>
      <c r="F185" s="10" t="s">
        <v>441</v>
      </c>
      <c r="G185" s="10" t="s">
        <v>442</v>
      </c>
      <c r="H185" s="6" t="s">
        <v>2</v>
      </c>
      <c r="I185" s="6" t="s">
        <v>333</v>
      </c>
      <c r="J185" s="6"/>
      <c r="K185" s="19" t="s">
        <v>26</v>
      </c>
      <c r="L185" s="27"/>
    </row>
    <row r="186" spans="1:12" s="7" customFormat="1" ht="17.5" x14ac:dyDescent="0.35">
      <c r="A186" s="90">
        <v>176</v>
      </c>
      <c r="B186" s="5" t="s">
        <v>17</v>
      </c>
      <c r="C186" s="10" t="s">
        <v>172</v>
      </c>
      <c r="D186" s="91" t="s">
        <v>286</v>
      </c>
      <c r="E186" s="91"/>
      <c r="F186" s="10" t="s">
        <v>30</v>
      </c>
      <c r="G186" s="10" t="s">
        <v>443</v>
      </c>
      <c r="H186" s="6" t="s">
        <v>2</v>
      </c>
      <c r="I186" s="6" t="s">
        <v>333</v>
      </c>
      <c r="J186" s="6" t="s">
        <v>107</v>
      </c>
      <c r="K186" s="19" t="s">
        <v>26</v>
      </c>
      <c r="L186" s="27"/>
    </row>
    <row r="187" spans="1:12" s="7" customFormat="1" ht="31" x14ac:dyDescent="0.35">
      <c r="A187" s="90">
        <v>177</v>
      </c>
      <c r="B187" s="5" t="s">
        <v>17</v>
      </c>
      <c r="C187" s="5" t="s">
        <v>172</v>
      </c>
      <c r="D187" s="91" t="s">
        <v>286</v>
      </c>
      <c r="E187" s="91"/>
      <c r="F187" s="6" t="s">
        <v>444</v>
      </c>
      <c r="G187" s="10" t="s">
        <v>445</v>
      </c>
      <c r="H187" s="6" t="s">
        <v>2</v>
      </c>
      <c r="I187" s="6" t="s">
        <v>333</v>
      </c>
      <c r="J187" s="10" t="s">
        <v>173</v>
      </c>
      <c r="K187" s="19" t="s">
        <v>26</v>
      </c>
      <c r="L187" s="28" t="s">
        <v>590</v>
      </c>
    </row>
    <row r="188" spans="1:12" s="7" customFormat="1" ht="33" x14ac:dyDescent="0.35">
      <c r="A188" s="90">
        <v>178</v>
      </c>
      <c r="B188" s="5" t="s">
        <v>17</v>
      </c>
      <c r="C188" s="5" t="s">
        <v>172</v>
      </c>
      <c r="D188" s="91" t="s">
        <v>286</v>
      </c>
      <c r="E188" s="91"/>
      <c r="F188" s="6" t="s">
        <v>446</v>
      </c>
      <c r="G188" s="10" t="s">
        <v>447</v>
      </c>
      <c r="H188" s="6" t="s">
        <v>2</v>
      </c>
      <c r="I188" s="6" t="s">
        <v>333</v>
      </c>
      <c r="J188" s="10" t="s">
        <v>174</v>
      </c>
      <c r="K188" s="19" t="s">
        <v>26</v>
      </c>
      <c r="L188" s="29" t="s">
        <v>594</v>
      </c>
    </row>
    <row r="189" spans="1:12" s="7" customFormat="1" ht="31" x14ac:dyDescent="0.35">
      <c r="A189" s="90">
        <v>179</v>
      </c>
      <c r="B189" s="5" t="s">
        <v>17</v>
      </c>
      <c r="C189" s="5" t="s">
        <v>172</v>
      </c>
      <c r="D189" s="91" t="s">
        <v>286</v>
      </c>
      <c r="E189" s="91"/>
      <c r="F189" s="6" t="s">
        <v>448</v>
      </c>
      <c r="G189" s="10" t="s">
        <v>449</v>
      </c>
      <c r="H189" s="6" t="s">
        <v>2</v>
      </c>
      <c r="I189" s="6" t="s">
        <v>333</v>
      </c>
      <c r="J189" s="10" t="s">
        <v>173</v>
      </c>
      <c r="K189" s="19" t="s">
        <v>26</v>
      </c>
      <c r="L189" s="28" t="s">
        <v>595</v>
      </c>
    </row>
    <row r="190" spans="1:12" s="7" customFormat="1" ht="33" x14ac:dyDescent="0.35">
      <c r="A190" s="90">
        <v>180</v>
      </c>
      <c r="B190" s="5" t="s">
        <v>17</v>
      </c>
      <c r="C190" s="5" t="s">
        <v>172</v>
      </c>
      <c r="D190" s="91" t="s">
        <v>286</v>
      </c>
      <c r="E190" s="91"/>
      <c r="F190" s="6" t="s">
        <v>450</v>
      </c>
      <c r="G190" s="10" t="s">
        <v>451</v>
      </c>
      <c r="H190" s="6" t="s">
        <v>2</v>
      </c>
      <c r="I190" s="6" t="s">
        <v>333</v>
      </c>
      <c r="J190" s="10" t="s">
        <v>174</v>
      </c>
      <c r="K190" s="19" t="s">
        <v>26</v>
      </c>
      <c r="L190" s="29" t="s">
        <v>596</v>
      </c>
    </row>
    <row r="191" spans="1:12" s="7" customFormat="1" ht="31" x14ac:dyDescent="0.35">
      <c r="A191" s="90">
        <v>181</v>
      </c>
      <c r="B191" s="5" t="s">
        <v>17</v>
      </c>
      <c r="C191" s="5" t="s">
        <v>172</v>
      </c>
      <c r="D191" s="91" t="s">
        <v>286</v>
      </c>
      <c r="E191" s="91"/>
      <c r="F191" s="6" t="s">
        <v>452</v>
      </c>
      <c r="G191" s="10" t="s">
        <v>453</v>
      </c>
      <c r="H191" s="6" t="s">
        <v>2</v>
      </c>
      <c r="I191" s="6" t="s">
        <v>333</v>
      </c>
      <c r="J191" s="10" t="s">
        <v>173</v>
      </c>
      <c r="K191" s="19" t="s">
        <v>26</v>
      </c>
      <c r="L191" s="29" t="s">
        <v>590</v>
      </c>
    </row>
    <row r="192" spans="1:12" s="7" customFormat="1" ht="33" x14ac:dyDescent="0.35">
      <c r="A192" s="90">
        <v>182</v>
      </c>
      <c r="B192" s="5" t="s">
        <v>17</v>
      </c>
      <c r="C192" s="5" t="s">
        <v>172</v>
      </c>
      <c r="D192" s="103" t="s">
        <v>286</v>
      </c>
      <c r="E192" s="103"/>
      <c r="F192" s="87" t="s">
        <v>454</v>
      </c>
      <c r="G192" s="13" t="s">
        <v>455</v>
      </c>
      <c r="H192" s="87" t="s">
        <v>2</v>
      </c>
      <c r="I192" s="87" t="s">
        <v>333</v>
      </c>
      <c r="J192" s="13" t="s">
        <v>174</v>
      </c>
      <c r="K192" s="22" t="s">
        <v>26</v>
      </c>
      <c r="L192" s="125" t="s">
        <v>594</v>
      </c>
    </row>
    <row r="193" spans="1:12" s="7" customFormat="1" ht="31" x14ac:dyDescent="0.35">
      <c r="A193" s="90">
        <v>183</v>
      </c>
      <c r="B193" s="5" t="s">
        <v>17</v>
      </c>
      <c r="C193" s="5" t="s">
        <v>172</v>
      </c>
      <c r="D193" s="118" t="s">
        <v>283</v>
      </c>
      <c r="E193" s="5"/>
      <c r="F193" s="6" t="s">
        <v>45</v>
      </c>
      <c r="G193" s="6" t="s">
        <v>36</v>
      </c>
      <c r="H193" s="6" t="s">
        <v>314</v>
      </c>
      <c r="I193" s="6" t="s">
        <v>456</v>
      </c>
      <c r="J193" s="6"/>
      <c r="K193" s="19" t="s">
        <v>26</v>
      </c>
      <c r="L193" s="27"/>
    </row>
    <row r="194" spans="1:12" s="7" customFormat="1" ht="31" x14ac:dyDescent="0.35">
      <c r="A194" s="90">
        <v>184</v>
      </c>
      <c r="B194" s="5" t="s">
        <v>17</v>
      </c>
      <c r="C194" s="5" t="s">
        <v>172</v>
      </c>
      <c r="D194" s="118" t="s">
        <v>283</v>
      </c>
      <c r="E194" s="5"/>
      <c r="F194" s="10" t="s">
        <v>47</v>
      </c>
      <c r="G194" s="106" t="s">
        <v>597</v>
      </c>
      <c r="H194" s="6" t="s">
        <v>2</v>
      </c>
      <c r="I194" s="6" t="s">
        <v>456</v>
      </c>
      <c r="J194" s="6"/>
      <c r="K194" s="19" t="s">
        <v>79</v>
      </c>
      <c r="L194" s="27"/>
    </row>
    <row r="195" spans="1:12" s="7" customFormat="1" ht="31" x14ac:dyDescent="0.35">
      <c r="A195" s="90">
        <v>185</v>
      </c>
      <c r="B195" s="5" t="s">
        <v>17</v>
      </c>
      <c r="C195" s="5" t="s">
        <v>172</v>
      </c>
      <c r="D195" s="118" t="s">
        <v>283</v>
      </c>
      <c r="E195" s="5"/>
      <c r="F195" s="10" t="s">
        <v>175</v>
      </c>
      <c r="G195" s="106" t="s">
        <v>598</v>
      </c>
      <c r="H195" s="6" t="s">
        <v>2</v>
      </c>
      <c r="I195" s="6" t="s">
        <v>456</v>
      </c>
      <c r="J195" s="6"/>
      <c r="K195" s="19" t="s">
        <v>79</v>
      </c>
      <c r="L195" s="27"/>
    </row>
    <row r="196" spans="1:12" s="7" customFormat="1" x14ac:dyDescent="0.35">
      <c r="A196" s="90">
        <v>186</v>
      </c>
      <c r="B196" s="5" t="s">
        <v>17</v>
      </c>
      <c r="C196" s="5" t="s">
        <v>172</v>
      </c>
      <c r="D196" s="118" t="s">
        <v>283</v>
      </c>
      <c r="E196" s="5"/>
      <c r="F196" s="6" t="s">
        <v>12</v>
      </c>
      <c r="G196" s="6"/>
      <c r="H196" s="6" t="s">
        <v>5</v>
      </c>
      <c r="I196" s="6" t="s">
        <v>333</v>
      </c>
      <c r="J196" s="119" t="s">
        <v>108</v>
      </c>
      <c r="K196" s="19" t="s">
        <v>26</v>
      </c>
      <c r="L196" s="27"/>
    </row>
    <row r="197" spans="1:12" s="7" customFormat="1" x14ac:dyDescent="0.35">
      <c r="A197" s="90">
        <v>187</v>
      </c>
      <c r="B197" s="5" t="s">
        <v>17</v>
      </c>
      <c r="C197" s="5" t="s">
        <v>172</v>
      </c>
      <c r="D197" s="118" t="s">
        <v>283</v>
      </c>
      <c r="E197" s="5"/>
      <c r="F197" s="6" t="s">
        <v>53</v>
      </c>
      <c r="G197" s="6"/>
      <c r="H197" s="6" t="s">
        <v>5</v>
      </c>
      <c r="I197" s="6" t="s">
        <v>333</v>
      </c>
      <c r="J197" s="119" t="s">
        <v>109</v>
      </c>
      <c r="K197" s="19" t="s">
        <v>26</v>
      </c>
      <c r="L197" s="27"/>
    </row>
    <row r="198" spans="1:12" s="7" customFormat="1" x14ac:dyDescent="0.35">
      <c r="A198" s="90">
        <v>188</v>
      </c>
      <c r="B198" s="5" t="s">
        <v>17</v>
      </c>
      <c r="C198" s="5" t="s">
        <v>172</v>
      </c>
      <c r="D198" s="118" t="s">
        <v>283</v>
      </c>
      <c r="E198" s="5"/>
      <c r="F198" s="6" t="s">
        <v>8</v>
      </c>
      <c r="G198" s="6" t="s">
        <v>36</v>
      </c>
      <c r="H198" s="6" t="s">
        <v>5</v>
      </c>
      <c r="I198" s="6" t="s">
        <v>333</v>
      </c>
      <c r="J198" s="120" t="s">
        <v>110</v>
      </c>
      <c r="K198" s="22" t="s">
        <v>26</v>
      </c>
      <c r="L198" s="22"/>
    </row>
    <row r="199" spans="1:12" s="7" customFormat="1" ht="17.5" x14ac:dyDescent="0.35">
      <c r="A199" s="90">
        <v>189</v>
      </c>
      <c r="B199" s="5" t="s">
        <v>17</v>
      </c>
      <c r="C199" s="5" t="s">
        <v>172</v>
      </c>
      <c r="D199" s="97" t="s">
        <v>290</v>
      </c>
      <c r="E199" s="97"/>
      <c r="F199" s="100" t="s">
        <v>118</v>
      </c>
      <c r="G199" s="100" t="s">
        <v>599</v>
      </c>
      <c r="H199" s="100" t="s">
        <v>5</v>
      </c>
      <c r="I199" s="100" t="s">
        <v>333</v>
      </c>
      <c r="J199" s="100">
        <v>166</v>
      </c>
      <c r="K199" s="19" t="s">
        <v>26</v>
      </c>
      <c r="L199" s="29" t="s">
        <v>600</v>
      </c>
    </row>
    <row r="200" spans="1:12" s="7" customFormat="1" ht="46.5" x14ac:dyDescent="0.35">
      <c r="A200" s="90">
        <v>190</v>
      </c>
      <c r="B200" s="5" t="s">
        <v>17</v>
      </c>
      <c r="C200" s="5" t="s">
        <v>172</v>
      </c>
      <c r="D200" s="91" t="s">
        <v>290</v>
      </c>
      <c r="E200" s="91"/>
      <c r="F200" s="10" t="s">
        <v>176</v>
      </c>
      <c r="G200" s="6"/>
      <c r="H200" s="6"/>
      <c r="I200" s="6" t="s">
        <v>318</v>
      </c>
      <c r="J200" s="10" t="s">
        <v>375</v>
      </c>
      <c r="K200" s="19" t="s">
        <v>26</v>
      </c>
      <c r="L200" s="29" t="s">
        <v>600</v>
      </c>
    </row>
    <row r="201" spans="1:12" s="7" customFormat="1" x14ac:dyDescent="0.35">
      <c r="A201" s="90">
        <v>191</v>
      </c>
      <c r="B201" s="93" t="s">
        <v>17</v>
      </c>
      <c r="C201" s="93" t="s">
        <v>172</v>
      </c>
      <c r="D201" s="103" t="s">
        <v>290</v>
      </c>
      <c r="E201" s="103"/>
      <c r="F201" s="13" t="s">
        <v>38</v>
      </c>
      <c r="G201" s="87" t="s">
        <v>49</v>
      </c>
      <c r="H201" s="87" t="s">
        <v>2</v>
      </c>
      <c r="I201" s="87" t="s">
        <v>333</v>
      </c>
      <c r="J201" s="87"/>
      <c r="K201" s="22" t="s">
        <v>79</v>
      </c>
      <c r="L201" s="127"/>
    </row>
    <row r="202" spans="1:12" s="7" customFormat="1" ht="31" x14ac:dyDescent="0.35">
      <c r="A202" s="90">
        <v>192</v>
      </c>
      <c r="B202" s="5" t="s">
        <v>18</v>
      </c>
      <c r="C202" s="91" t="s">
        <v>172</v>
      </c>
      <c r="D202" s="118" t="s">
        <v>283</v>
      </c>
      <c r="E202" s="91"/>
      <c r="F202" s="10" t="s">
        <v>22</v>
      </c>
      <c r="G202" s="10" t="s">
        <v>46</v>
      </c>
      <c r="H202" s="10" t="s">
        <v>3</v>
      </c>
      <c r="I202" s="6" t="s">
        <v>456</v>
      </c>
      <c r="J202" s="6"/>
      <c r="K202" s="19" t="s">
        <v>26</v>
      </c>
      <c r="L202" s="27"/>
    </row>
    <row r="203" spans="1:12" s="7" customFormat="1" x14ac:dyDescent="0.35">
      <c r="A203" s="90">
        <v>193</v>
      </c>
      <c r="B203" s="5" t="s">
        <v>18</v>
      </c>
      <c r="C203" s="91" t="s">
        <v>172</v>
      </c>
      <c r="D203" s="118" t="s">
        <v>283</v>
      </c>
      <c r="E203" s="91"/>
      <c r="F203" s="10" t="s">
        <v>193</v>
      </c>
      <c r="G203" s="5"/>
      <c r="H203" s="10" t="s">
        <v>0</v>
      </c>
      <c r="I203" s="10" t="s">
        <v>333</v>
      </c>
      <c r="J203" s="6"/>
      <c r="K203" s="19" t="s">
        <v>26</v>
      </c>
      <c r="L203" s="29" t="s">
        <v>534</v>
      </c>
    </row>
    <row r="204" spans="1:12" s="7" customFormat="1" x14ac:dyDescent="0.35">
      <c r="A204" s="90">
        <v>194</v>
      </c>
      <c r="B204" s="5" t="s">
        <v>18</v>
      </c>
      <c r="C204" s="91" t="s">
        <v>172</v>
      </c>
      <c r="D204" s="118" t="s">
        <v>283</v>
      </c>
      <c r="E204" s="91"/>
      <c r="F204" s="6" t="s">
        <v>13</v>
      </c>
      <c r="G204" s="6"/>
      <c r="H204" s="6" t="s">
        <v>6</v>
      </c>
      <c r="I204" s="6" t="s">
        <v>333</v>
      </c>
      <c r="J204" s="66" t="s">
        <v>111</v>
      </c>
      <c r="K204" s="19" t="s">
        <v>79</v>
      </c>
      <c r="L204" s="12"/>
    </row>
    <row r="205" spans="1:12" s="7" customFormat="1" x14ac:dyDescent="0.35">
      <c r="A205" s="90">
        <v>195</v>
      </c>
      <c r="B205" s="5" t="s">
        <v>18</v>
      </c>
      <c r="C205" s="91" t="s">
        <v>172</v>
      </c>
      <c r="D205" s="118" t="s">
        <v>283</v>
      </c>
      <c r="E205" s="91"/>
      <c r="F205" s="6" t="s">
        <v>14</v>
      </c>
      <c r="G205" s="6"/>
      <c r="H205" s="6" t="s">
        <v>6</v>
      </c>
      <c r="I205" s="6" t="s">
        <v>333</v>
      </c>
      <c r="J205" s="6"/>
      <c r="K205" s="19" t="s">
        <v>79</v>
      </c>
      <c r="L205" s="30"/>
    </row>
    <row r="206" spans="1:12" s="7" customFormat="1" x14ac:dyDescent="0.35">
      <c r="A206" s="90">
        <v>196</v>
      </c>
      <c r="B206" s="5" t="s">
        <v>18</v>
      </c>
      <c r="C206" s="91" t="s">
        <v>172</v>
      </c>
      <c r="D206" s="118" t="s">
        <v>283</v>
      </c>
      <c r="E206" s="91"/>
      <c r="F206" s="6" t="s">
        <v>19</v>
      </c>
      <c r="G206" s="6"/>
      <c r="H206" s="6" t="s">
        <v>113</v>
      </c>
      <c r="I206" s="6" t="s">
        <v>333</v>
      </c>
      <c r="J206" s="66" t="s">
        <v>112</v>
      </c>
      <c r="K206" s="19" t="s">
        <v>79</v>
      </c>
      <c r="L206" s="30"/>
    </row>
    <row r="207" spans="1:12" s="7" customFormat="1" x14ac:dyDescent="0.35">
      <c r="A207" s="90">
        <v>197</v>
      </c>
      <c r="B207" s="5" t="s">
        <v>18</v>
      </c>
      <c r="C207" s="91" t="s">
        <v>172</v>
      </c>
      <c r="D207" s="118" t="s">
        <v>283</v>
      </c>
      <c r="E207" s="91"/>
      <c r="F207" s="6" t="s">
        <v>20</v>
      </c>
      <c r="G207" s="6"/>
      <c r="H207" s="6" t="s">
        <v>113</v>
      </c>
      <c r="I207" s="6" t="s">
        <v>333</v>
      </c>
      <c r="J207" s="6"/>
      <c r="K207" s="19" t="s">
        <v>79</v>
      </c>
      <c r="L207" s="30"/>
    </row>
    <row r="208" spans="1:12" s="7" customFormat="1" ht="31" x14ac:dyDescent="0.35">
      <c r="A208" s="90">
        <v>198</v>
      </c>
      <c r="B208" s="5" t="s">
        <v>18</v>
      </c>
      <c r="C208" s="91" t="s">
        <v>172</v>
      </c>
      <c r="D208" s="121" t="s">
        <v>283</v>
      </c>
      <c r="E208" s="93"/>
      <c r="F208" s="13" t="s">
        <v>317</v>
      </c>
      <c r="G208" s="10" t="s">
        <v>35</v>
      </c>
      <c r="H208" s="10" t="s">
        <v>1</v>
      </c>
      <c r="I208" s="6" t="s">
        <v>456</v>
      </c>
      <c r="J208" s="122"/>
      <c r="K208" s="22" t="s">
        <v>26</v>
      </c>
      <c r="L208" s="125" t="s">
        <v>457</v>
      </c>
    </row>
    <row r="209" spans="1:12" s="7" customFormat="1" ht="17.5" x14ac:dyDescent="0.35">
      <c r="A209" s="90">
        <v>199</v>
      </c>
      <c r="B209" s="5" t="s">
        <v>18</v>
      </c>
      <c r="C209" s="91" t="s">
        <v>172</v>
      </c>
      <c r="D209" s="5" t="s">
        <v>179</v>
      </c>
      <c r="E209" s="5"/>
      <c r="F209" s="10" t="s">
        <v>180</v>
      </c>
      <c r="G209" s="102" t="s">
        <v>181</v>
      </c>
      <c r="H209" s="100" t="s">
        <v>1</v>
      </c>
      <c r="I209" s="100" t="s">
        <v>333</v>
      </c>
      <c r="J209" s="100"/>
      <c r="K209" s="23" t="s">
        <v>26</v>
      </c>
      <c r="L209" s="144" t="s">
        <v>623</v>
      </c>
    </row>
    <row r="210" spans="1:12" s="7" customFormat="1" x14ac:dyDescent="0.35">
      <c r="A210" s="90">
        <v>200</v>
      </c>
      <c r="B210" s="5" t="s">
        <v>18</v>
      </c>
      <c r="C210" s="91" t="s">
        <v>172</v>
      </c>
      <c r="D210" s="91" t="s">
        <v>179</v>
      </c>
      <c r="E210" s="5"/>
      <c r="F210" s="6" t="s">
        <v>37</v>
      </c>
      <c r="G210" s="6" t="s">
        <v>50</v>
      </c>
      <c r="H210" s="6" t="s">
        <v>1</v>
      </c>
      <c r="I210" s="6" t="s">
        <v>333</v>
      </c>
      <c r="J210" s="6"/>
      <c r="K210" s="23" t="s">
        <v>26</v>
      </c>
      <c r="L210" s="144" t="s">
        <v>624</v>
      </c>
    </row>
    <row r="211" spans="1:12" s="7" customFormat="1" ht="17.5" x14ac:dyDescent="0.35">
      <c r="A211" s="90">
        <v>201</v>
      </c>
      <c r="B211" s="5" t="s">
        <v>18</v>
      </c>
      <c r="C211" s="91" t="s">
        <v>172</v>
      </c>
      <c r="D211" s="103" t="s">
        <v>179</v>
      </c>
      <c r="E211" s="93"/>
      <c r="F211" s="87" t="s">
        <v>610</v>
      </c>
      <c r="G211" s="13" t="s">
        <v>182</v>
      </c>
      <c r="H211" s="103" t="s">
        <v>1</v>
      </c>
      <c r="I211" s="87" t="s">
        <v>333</v>
      </c>
      <c r="J211" s="87"/>
      <c r="K211" s="24" t="s">
        <v>26</v>
      </c>
      <c r="L211" s="145" t="s">
        <v>624</v>
      </c>
    </row>
    <row r="212" spans="1:12" s="7" customFormat="1" ht="46.5" x14ac:dyDescent="0.35">
      <c r="A212" s="90">
        <v>202</v>
      </c>
      <c r="B212" s="5" t="s">
        <v>18</v>
      </c>
      <c r="C212" s="91" t="s">
        <v>172</v>
      </c>
      <c r="D212" s="5" t="s">
        <v>183</v>
      </c>
      <c r="E212" s="5"/>
      <c r="F212" s="5" t="s">
        <v>392</v>
      </c>
      <c r="G212" s="6"/>
      <c r="H212" s="6"/>
      <c r="I212" s="6" t="s">
        <v>318</v>
      </c>
      <c r="J212" s="6" t="s">
        <v>66</v>
      </c>
      <c r="K212" s="23" t="s">
        <v>26</v>
      </c>
      <c r="L212" s="28" t="s">
        <v>535</v>
      </c>
    </row>
    <row r="213" spans="1:12" s="7" customFormat="1" x14ac:dyDescent="0.35">
      <c r="A213" s="90">
        <v>203</v>
      </c>
      <c r="B213" s="5" t="s">
        <v>18</v>
      </c>
      <c r="C213" s="91" t="s">
        <v>172</v>
      </c>
      <c r="D213" s="5" t="s">
        <v>183</v>
      </c>
      <c r="E213" s="5"/>
      <c r="F213" s="6" t="s">
        <v>25</v>
      </c>
      <c r="G213" s="6" t="s">
        <v>601</v>
      </c>
      <c r="H213" s="6" t="s">
        <v>1</v>
      </c>
      <c r="I213" s="6" t="s">
        <v>333</v>
      </c>
      <c r="J213" s="6" t="s">
        <v>184</v>
      </c>
      <c r="K213" s="19" t="s">
        <v>26</v>
      </c>
      <c r="L213" s="30"/>
    </row>
    <row r="214" spans="1:12" s="7" customFormat="1" x14ac:dyDescent="0.35">
      <c r="A214" s="90">
        <v>204</v>
      </c>
      <c r="B214" s="5" t="s">
        <v>18</v>
      </c>
      <c r="C214" s="91" t="s">
        <v>172</v>
      </c>
      <c r="D214" s="5" t="s">
        <v>183</v>
      </c>
      <c r="E214" s="5"/>
      <c r="F214" s="6" t="s">
        <v>33</v>
      </c>
      <c r="G214" s="6" t="s">
        <v>602</v>
      </c>
      <c r="H214" s="6" t="s">
        <v>1</v>
      </c>
      <c r="I214" s="6" t="s">
        <v>333</v>
      </c>
      <c r="J214" s="6"/>
      <c r="K214" s="19" t="s">
        <v>26</v>
      </c>
      <c r="L214" s="27"/>
    </row>
    <row r="215" spans="1:12" s="7" customFormat="1" ht="17.5" x14ac:dyDescent="0.35">
      <c r="A215" s="90">
        <v>205</v>
      </c>
      <c r="B215" s="5" t="s">
        <v>18</v>
      </c>
      <c r="C215" s="91" t="s">
        <v>172</v>
      </c>
      <c r="D215" s="5" t="s">
        <v>183</v>
      </c>
      <c r="E215" s="5"/>
      <c r="F215" s="6" t="s">
        <v>27</v>
      </c>
      <c r="G215" s="6" t="s">
        <v>603</v>
      </c>
      <c r="H215" s="6" t="s">
        <v>1</v>
      </c>
      <c r="I215" s="6" t="s">
        <v>333</v>
      </c>
      <c r="J215" s="6"/>
      <c r="K215" s="19" t="s">
        <v>26</v>
      </c>
      <c r="L215" s="27"/>
    </row>
    <row r="216" spans="1:12" s="7" customFormat="1" x14ac:dyDescent="0.35">
      <c r="A216" s="90">
        <v>206</v>
      </c>
      <c r="B216" s="5" t="s">
        <v>18</v>
      </c>
      <c r="C216" s="91" t="s">
        <v>172</v>
      </c>
      <c r="D216" s="5" t="s">
        <v>183</v>
      </c>
      <c r="E216" s="5"/>
      <c r="F216" s="6" t="s">
        <v>34</v>
      </c>
      <c r="G216" s="6" t="s">
        <v>604</v>
      </c>
      <c r="H216" s="6" t="s">
        <v>1</v>
      </c>
      <c r="I216" s="6" t="s">
        <v>333</v>
      </c>
      <c r="J216" s="6">
        <v>0</v>
      </c>
      <c r="K216" s="19" t="s">
        <v>26</v>
      </c>
      <c r="L216" s="27"/>
    </row>
    <row r="217" spans="1:12" s="7" customFormat="1" x14ac:dyDescent="0.35">
      <c r="A217" s="90">
        <v>207</v>
      </c>
      <c r="B217" s="5" t="s">
        <v>18</v>
      </c>
      <c r="C217" s="91" t="s">
        <v>172</v>
      </c>
      <c r="D217" s="5" t="s">
        <v>183</v>
      </c>
      <c r="E217" s="5"/>
      <c r="F217" s="6" t="s">
        <v>24</v>
      </c>
      <c r="G217" s="6" t="s">
        <v>605</v>
      </c>
      <c r="H217" s="6" t="s">
        <v>1</v>
      </c>
      <c r="I217" s="6" t="s">
        <v>333</v>
      </c>
      <c r="J217" s="66" t="s">
        <v>185</v>
      </c>
      <c r="K217" s="19" t="s">
        <v>26</v>
      </c>
      <c r="L217" s="27"/>
    </row>
    <row r="218" spans="1:12" s="7" customFormat="1" ht="17.5" x14ac:dyDescent="0.35">
      <c r="A218" s="123">
        <v>208</v>
      </c>
      <c r="B218" s="93" t="s">
        <v>18</v>
      </c>
      <c r="C218" s="103" t="s">
        <v>172</v>
      </c>
      <c r="D218" s="93" t="s">
        <v>183</v>
      </c>
      <c r="E218" s="93"/>
      <c r="F218" s="87" t="s">
        <v>23</v>
      </c>
      <c r="G218" s="87" t="s">
        <v>606</v>
      </c>
      <c r="H218" s="87" t="s">
        <v>1</v>
      </c>
      <c r="I218" s="87" t="s">
        <v>333</v>
      </c>
      <c r="J218" s="120" t="s">
        <v>185</v>
      </c>
      <c r="K218" s="22" t="s">
        <v>26</v>
      </c>
      <c r="L218" s="32"/>
    </row>
    <row r="225" spans="6:6" x14ac:dyDescent="0.35">
      <c r="F225" s="11"/>
    </row>
  </sheetData>
  <autoFilter ref="A8:L218" xr:uid="{0A856DFA-CB07-44AD-95A9-DB3CF6EFDDB4}"/>
  <mergeCells count="2">
    <mergeCell ref="D4:E4"/>
    <mergeCell ref="F6:G6"/>
  </mergeCells>
  <phoneticPr fontId="7" type="noConversion"/>
  <conditionalFormatting sqref="K9:K218">
    <cfRule type="cellIs" dxfId="1174" priority="192" operator="equal">
      <formula>"Mandatory"</formula>
    </cfRule>
  </conditionalFormatting>
  <conditionalFormatting sqref="K9:K218">
    <cfRule type="cellIs" dxfId="1173" priority="190" operator="equal">
      <formula>"Recommended"</formula>
    </cfRule>
    <cfRule type="cellIs" dxfId="1172" priority="191" operator="equal">
      <formula>"Optional"</formula>
    </cfRule>
  </conditionalFormatting>
  <conditionalFormatting sqref="K9:K218">
    <cfRule type="cellIs" dxfId="1171" priority="189" operator="equal">
      <formula>"Undecided"</formula>
    </cfRule>
  </conditionalFormatting>
  <dataValidations count="1">
    <dataValidation type="list" allowBlank="1" showInputMessage="1" showErrorMessage="1" sqref="K9:K218" xr:uid="{6F70A31E-2A5A-480C-A8BD-1C045BE557F6}">
      <formula1>$K$6:$K$7</formula1>
    </dataValidation>
  </dataValidations>
  <hyperlinks>
    <hyperlink ref="J28" r:id="rId1" xr:uid="{0D54477F-066C-4A5A-A8B1-FEADC403C11F}"/>
    <hyperlink ref="J30" r:id="rId2" xr:uid="{780443C1-3125-41BA-83C3-57A26A8D4D8F}"/>
  </hyperlinks>
  <pageMargins left="0.7" right="0.7" top="0.75" bottom="0.75" header="0.3" footer="0.3"/>
  <pageSetup paperSize="66" scale="3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7449-66EC-4C27-9A44-DF9C535247DF}">
  <sheetPr codeName="Sheet2">
    <pageSetUpPr fitToPage="1"/>
  </sheetPr>
  <dimension ref="A1:J241"/>
  <sheetViews>
    <sheetView zoomScale="55" zoomScaleNormal="55" zoomScaleSheetLayoutView="50" workbookViewId="0">
      <pane xSplit="1" ySplit="6" topLeftCell="B7" activePane="bottomRight" state="frozen"/>
      <selection pane="topRight" activeCell="B1" sqref="B1"/>
      <selection pane="bottomLeft" activeCell="A12" sqref="A12"/>
      <selection pane="bottomRight" activeCell="C13" sqref="C13"/>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223"/>
      <c r="H3" s="34" t="s">
        <v>653</v>
      </c>
    </row>
    <row r="4" spans="1:10" x14ac:dyDescent="0.35">
      <c r="A4" s="90">
        <v>1</v>
      </c>
      <c r="B4" s="10" t="s">
        <v>685</v>
      </c>
      <c r="C4" s="10" t="s">
        <v>54</v>
      </c>
      <c r="D4" s="146"/>
      <c r="E4" s="146"/>
      <c r="F4" s="18" t="s">
        <v>26</v>
      </c>
      <c r="G4" s="201">
        <v>45264.381145833337</v>
      </c>
      <c r="H4" s="162"/>
      <c r="J4" s="2" t="b">
        <f>EXACT(G4,'Vh5205_C-89'!G4)</f>
        <v>0</v>
      </c>
    </row>
    <row r="5" spans="1:10" x14ac:dyDescent="0.35">
      <c r="A5" s="90">
        <v>2</v>
      </c>
      <c r="B5" s="10" t="s">
        <v>685</v>
      </c>
      <c r="C5" s="10" t="s">
        <v>55</v>
      </c>
      <c r="D5" s="146"/>
      <c r="E5" s="146"/>
      <c r="F5" s="19" t="s">
        <v>26</v>
      </c>
      <c r="G5" s="202">
        <v>45307.297812500001</v>
      </c>
      <c r="H5" s="58"/>
      <c r="J5" s="2" t="b">
        <f>EXACT(G5,'Vh5205_C-89'!G5)</f>
        <v>0</v>
      </c>
    </row>
    <row r="6" spans="1:10" x14ac:dyDescent="0.35">
      <c r="A6" s="90">
        <v>3</v>
      </c>
      <c r="B6" s="146" t="s">
        <v>685</v>
      </c>
      <c r="C6" s="146" t="s">
        <v>41</v>
      </c>
      <c r="D6" s="146"/>
      <c r="E6" s="146"/>
      <c r="F6" s="19" t="s">
        <v>26</v>
      </c>
      <c r="G6" s="161" t="s">
        <v>507</v>
      </c>
      <c r="H6" s="58"/>
      <c r="J6" s="2" t="b">
        <f>EXACT(G6,'Vh5205_C-89'!G6)</f>
        <v>0</v>
      </c>
    </row>
    <row r="7" spans="1:10" x14ac:dyDescent="0.35">
      <c r="A7" s="90">
        <v>4</v>
      </c>
      <c r="B7" s="146" t="s">
        <v>685</v>
      </c>
      <c r="C7" s="146" t="s">
        <v>7</v>
      </c>
      <c r="D7" s="146"/>
      <c r="E7" s="146"/>
      <c r="F7" s="19" t="s">
        <v>79</v>
      </c>
      <c r="G7" s="192" t="s">
        <v>499</v>
      </c>
      <c r="H7" s="53" t="s">
        <v>652</v>
      </c>
      <c r="I7" s="2"/>
      <c r="J7" s="176" t="b">
        <f>EXACT(G7,'Vh5205_C-89'!G7)</f>
        <v>1</v>
      </c>
    </row>
    <row r="8" spans="1:10" x14ac:dyDescent="0.35">
      <c r="A8" s="90">
        <v>5</v>
      </c>
      <c r="B8" s="87" t="s">
        <v>685</v>
      </c>
      <c r="C8" s="87" t="s">
        <v>39</v>
      </c>
      <c r="D8" s="87"/>
      <c r="E8" s="87"/>
      <c r="F8" s="22" t="s">
        <v>79</v>
      </c>
      <c r="G8" s="194" t="s">
        <v>524</v>
      </c>
      <c r="H8" s="181" t="s">
        <v>652</v>
      </c>
      <c r="I8" s="2"/>
      <c r="J8" s="176" t="b">
        <f>EXACT(G8,'Vh5205_C-89'!G8)</f>
        <v>1</v>
      </c>
    </row>
    <row r="9" spans="1:10" x14ac:dyDescent="0.35">
      <c r="A9" s="90">
        <v>6</v>
      </c>
      <c r="B9" s="10" t="s">
        <v>686</v>
      </c>
      <c r="C9" s="10" t="s">
        <v>301</v>
      </c>
      <c r="D9" s="10"/>
      <c r="E9" s="10"/>
      <c r="F9" s="19" t="s">
        <v>26</v>
      </c>
      <c r="G9" s="192" t="s">
        <v>196</v>
      </c>
      <c r="H9" s="163" t="s">
        <v>652</v>
      </c>
      <c r="I9" s="2"/>
      <c r="J9" s="176" t="b">
        <f>EXACT(G9,'Vh5205_C-89'!G9)</f>
        <v>1</v>
      </c>
    </row>
    <row r="10" spans="1:10" x14ac:dyDescent="0.35">
      <c r="A10" s="90">
        <v>7</v>
      </c>
      <c r="B10" s="10" t="s">
        <v>686</v>
      </c>
      <c r="C10" s="10" t="s">
        <v>302</v>
      </c>
      <c r="D10" s="94"/>
      <c r="E10" s="146"/>
      <c r="F10" s="19" t="s">
        <v>26</v>
      </c>
      <c r="G10" s="161" t="s">
        <v>523</v>
      </c>
      <c r="H10" s="140" t="s">
        <v>652</v>
      </c>
      <c r="I10" s="2"/>
      <c r="J10" s="176" t="b">
        <f>EXACT(G10,'Vh5205_C-89'!G10)</f>
        <v>1</v>
      </c>
    </row>
    <row r="11" spans="1:10" x14ac:dyDescent="0.35">
      <c r="A11" s="90">
        <v>8</v>
      </c>
      <c r="B11" s="146" t="s">
        <v>686</v>
      </c>
      <c r="C11" s="146" t="s">
        <v>134</v>
      </c>
      <c r="D11" s="146" t="s">
        <v>15</v>
      </c>
      <c r="E11" s="146" t="s">
        <v>85</v>
      </c>
      <c r="F11" s="19" t="s">
        <v>26</v>
      </c>
      <c r="G11" s="192" t="s">
        <v>197</v>
      </c>
      <c r="H11" s="53" t="s">
        <v>652</v>
      </c>
      <c r="I11" s="2"/>
      <c r="J11" s="176" t="b">
        <f>EXACT(G11,'Vh5205_C-89'!G11)</f>
        <v>1</v>
      </c>
    </row>
    <row r="12" spans="1:10" x14ac:dyDescent="0.35">
      <c r="A12" s="90">
        <v>9</v>
      </c>
      <c r="B12" s="10" t="s">
        <v>686</v>
      </c>
      <c r="C12" s="10" t="s">
        <v>310</v>
      </c>
      <c r="D12" s="146"/>
      <c r="E12" s="146"/>
      <c r="F12" s="19" t="s">
        <v>26</v>
      </c>
      <c r="G12" s="192" t="s">
        <v>198</v>
      </c>
      <c r="H12" s="53" t="s">
        <v>652</v>
      </c>
      <c r="I12" s="2"/>
      <c r="J12" s="176" t="b">
        <f>EXACT(G12,'Vh5205_C-89'!G12)</f>
        <v>1</v>
      </c>
    </row>
    <row r="13" spans="1:10" x14ac:dyDescent="0.35">
      <c r="A13" s="90">
        <v>10</v>
      </c>
      <c r="B13" s="10" t="s">
        <v>686</v>
      </c>
      <c r="C13" s="10" t="s">
        <v>311</v>
      </c>
      <c r="D13" s="146"/>
      <c r="E13" s="146"/>
      <c r="F13" s="19" t="s">
        <v>26</v>
      </c>
      <c r="G13" s="192" t="s">
        <v>199</v>
      </c>
      <c r="H13" s="53" t="s">
        <v>652</v>
      </c>
      <c r="I13" s="2"/>
      <c r="J13" s="176" t="b">
        <f>EXACT(G13,'Vh5205_C-89'!G13)</f>
        <v>1</v>
      </c>
    </row>
    <row r="14" spans="1:10" ht="17.5" x14ac:dyDescent="0.35">
      <c r="A14" s="90">
        <v>11</v>
      </c>
      <c r="B14" s="10" t="s">
        <v>686</v>
      </c>
      <c r="C14" s="10" t="s">
        <v>123</v>
      </c>
      <c r="D14" s="146" t="s">
        <v>557</v>
      </c>
      <c r="E14" s="146" t="s">
        <v>4</v>
      </c>
      <c r="F14" s="19" t="s">
        <v>26</v>
      </c>
      <c r="G14" s="161">
        <v>140</v>
      </c>
      <c r="H14" s="140"/>
      <c r="I14" s="2"/>
      <c r="J14" s="1" t="b">
        <f>EXACT(G14,'Vh5205_C-89'!G14)</f>
        <v>0</v>
      </c>
    </row>
    <row r="15" spans="1:10" x14ac:dyDescent="0.35">
      <c r="A15" s="90">
        <v>12</v>
      </c>
      <c r="B15" s="146" t="s">
        <v>686</v>
      </c>
      <c r="C15" s="146" t="s">
        <v>116</v>
      </c>
      <c r="D15" s="146"/>
      <c r="E15" s="146"/>
      <c r="F15" s="19" t="s">
        <v>26</v>
      </c>
      <c r="G15" s="161" t="s">
        <v>684</v>
      </c>
      <c r="H15" s="53" t="s">
        <v>652</v>
      </c>
      <c r="I15" s="2"/>
      <c r="J15" s="176" t="b">
        <f>EXACT(G15,'Vh5205_C-89'!G15)</f>
        <v>1</v>
      </c>
    </row>
    <row r="16" spans="1:10" x14ac:dyDescent="0.35">
      <c r="A16" s="90">
        <v>13</v>
      </c>
      <c r="B16" s="10" t="s">
        <v>686</v>
      </c>
      <c r="C16" s="10" t="s">
        <v>408</v>
      </c>
      <c r="D16" s="146"/>
      <c r="E16" s="146"/>
      <c r="F16" s="19" t="s">
        <v>26</v>
      </c>
      <c r="G16" s="161" t="s">
        <v>520</v>
      </c>
      <c r="H16" s="140"/>
      <c r="I16" s="2"/>
      <c r="J16" s="1" t="b">
        <f>EXACT(G16,'Vh5205_C-89'!G16)</f>
        <v>0</v>
      </c>
    </row>
    <row r="17" spans="1:10" x14ac:dyDescent="0.35">
      <c r="A17" s="90">
        <v>14</v>
      </c>
      <c r="B17" s="10" t="s">
        <v>686</v>
      </c>
      <c r="C17" s="10" t="s">
        <v>409</v>
      </c>
      <c r="D17" s="146"/>
      <c r="E17" s="146"/>
      <c r="F17" s="19" t="s">
        <v>26</v>
      </c>
      <c r="G17" s="161" t="s">
        <v>521</v>
      </c>
      <c r="H17" s="140"/>
      <c r="I17" s="2"/>
      <c r="J17" s="1" t="b">
        <f>EXACT(G17,'Vh5205_C-89'!G17)</f>
        <v>0</v>
      </c>
    </row>
    <row r="18" spans="1:10" s="7" customFormat="1" x14ac:dyDescent="0.35">
      <c r="A18" s="90">
        <v>15</v>
      </c>
      <c r="B18" s="146" t="s">
        <v>686</v>
      </c>
      <c r="C18" s="146" t="s">
        <v>177</v>
      </c>
      <c r="D18" s="146"/>
      <c r="E18" s="146"/>
      <c r="F18" s="19" t="s">
        <v>26</v>
      </c>
      <c r="G18" s="161" t="s">
        <v>277</v>
      </c>
      <c r="H18" s="177"/>
      <c r="I18" s="178"/>
      <c r="J18" s="1" t="b">
        <f>EXACT(G18,'Vh5205_C-89'!G18)</f>
        <v>0</v>
      </c>
    </row>
    <row r="19" spans="1:10" x14ac:dyDescent="0.35">
      <c r="A19" s="90">
        <v>16</v>
      </c>
      <c r="B19" s="10" t="s">
        <v>686</v>
      </c>
      <c r="C19" s="10" t="s">
        <v>124</v>
      </c>
      <c r="D19" s="146"/>
      <c r="E19" s="146" t="s">
        <v>0</v>
      </c>
      <c r="F19" s="19" t="s">
        <v>79</v>
      </c>
      <c r="G19" s="203"/>
      <c r="H19" s="140"/>
      <c r="I19" s="2"/>
      <c r="J19" s="1" t="b">
        <f>EXACT(G19,'Vh5205_C-89'!G19)</f>
        <v>1</v>
      </c>
    </row>
    <row r="20" spans="1:10" x14ac:dyDescent="0.35">
      <c r="A20" s="90">
        <v>17</v>
      </c>
      <c r="B20" s="10" t="s">
        <v>686</v>
      </c>
      <c r="C20" s="10" t="s">
        <v>188</v>
      </c>
      <c r="D20" s="146"/>
      <c r="E20" s="146" t="s">
        <v>0</v>
      </c>
      <c r="F20" s="19" t="s">
        <v>26</v>
      </c>
      <c r="G20" s="193" t="s">
        <v>618</v>
      </c>
      <c r="H20" s="140" t="s">
        <v>652</v>
      </c>
      <c r="I20" s="2"/>
      <c r="J20" s="176" t="b">
        <f>EXACT(G20,'Vh5205_C-89'!G20)</f>
        <v>1</v>
      </c>
    </row>
    <row r="21" spans="1:10" x14ac:dyDescent="0.35">
      <c r="A21" s="90">
        <v>18</v>
      </c>
      <c r="B21" s="13" t="s">
        <v>686</v>
      </c>
      <c r="C21" s="13" t="s">
        <v>131</v>
      </c>
      <c r="D21" s="87"/>
      <c r="E21" s="87"/>
      <c r="F21" s="22" t="s">
        <v>79</v>
      </c>
      <c r="G21" s="196"/>
      <c r="H21" s="182"/>
      <c r="I21" s="2"/>
      <c r="J21" s="1" t="b">
        <f>EXACT(G21,'Vh5205_C-89'!G21)</f>
        <v>1</v>
      </c>
    </row>
    <row r="22" spans="1:10" x14ac:dyDescent="0.35">
      <c r="A22" s="90">
        <v>19</v>
      </c>
      <c r="B22" s="146" t="s">
        <v>687</v>
      </c>
      <c r="C22" s="146" t="s">
        <v>65</v>
      </c>
      <c r="D22" s="146"/>
      <c r="E22" s="146"/>
      <c r="F22" s="19" t="s">
        <v>79</v>
      </c>
      <c r="G22" s="192" t="s">
        <v>48</v>
      </c>
      <c r="H22" s="53" t="s">
        <v>652</v>
      </c>
      <c r="I22" s="2"/>
      <c r="J22" s="176" t="b">
        <f>EXACT(G22,'Vh5205_C-89'!G22)</f>
        <v>1</v>
      </c>
    </row>
    <row r="23" spans="1:10" x14ac:dyDescent="0.35">
      <c r="A23" s="90">
        <v>20</v>
      </c>
      <c r="B23" s="146" t="s">
        <v>687</v>
      </c>
      <c r="C23" s="146" t="s">
        <v>69</v>
      </c>
      <c r="D23" s="146"/>
      <c r="E23" s="146"/>
      <c r="F23" s="19" t="s">
        <v>79</v>
      </c>
      <c r="G23" s="161"/>
      <c r="H23" s="140"/>
      <c r="I23" s="2"/>
      <c r="J23" s="1" t="b">
        <f>EXACT(G23,'Vh5205_C-89'!G23)</f>
        <v>1</v>
      </c>
    </row>
    <row r="24" spans="1:10" x14ac:dyDescent="0.35">
      <c r="A24" s="90">
        <v>21</v>
      </c>
      <c r="B24" s="146" t="s">
        <v>687</v>
      </c>
      <c r="C24" s="146" t="s">
        <v>70</v>
      </c>
      <c r="D24" s="146"/>
      <c r="E24" s="146"/>
      <c r="F24" s="19" t="s">
        <v>79</v>
      </c>
      <c r="G24" s="161"/>
      <c r="H24" s="140"/>
      <c r="I24" s="2"/>
      <c r="J24" s="1" t="b">
        <f>EXACT(G24,'Vh5205_C-89'!G24)</f>
        <v>1</v>
      </c>
    </row>
    <row r="25" spans="1:10" x14ac:dyDescent="0.35">
      <c r="A25" s="90">
        <v>22</v>
      </c>
      <c r="B25" s="146" t="s">
        <v>687</v>
      </c>
      <c r="C25" s="146" t="s">
        <v>71</v>
      </c>
      <c r="D25" s="146"/>
      <c r="E25" s="146"/>
      <c r="F25" s="19" t="s">
        <v>79</v>
      </c>
      <c r="G25" s="161"/>
      <c r="H25" s="140"/>
      <c r="I25" s="2"/>
      <c r="J25" s="1" t="b">
        <f>EXACT(G25,'Vh5205_C-89'!G25)</f>
        <v>1</v>
      </c>
    </row>
    <row r="26" spans="1:10" x14ac:dyDescent="0.35">
      <c r="A26" s="90">
        <v>23</v>
      </c>
      <c r="B26" s="146" t="s">
        <v>687</v>
      </c>
      <c r="C26" s="146" t="s">
        <v>72</v>
      </c>
      <c r="D26" s="146"/>
      <c r="E26" s="146"/>
      <c r="F26" s="19" t="s">
        <v>79</v>
      </c>
      <c r="G26" s="161"/>
      <c r="H26" s="140"/>
      <c r="I26" s="2"/>
      <c r="J26" s="1" t="b">
        <f>EXACT(G26,'Vh5205_C-89'!G26)</f>
        <v>1</v>
      </c>
    </row>
    <row r="27" spans="1:10" x14ac:dyDescent="0.35">
      <c r="A27" s="90">
        <v>24</v>
      </c>
      <c r="B27" s="146" t="s">
        <v>687</v>
      </c>
      <c r="C27" s="146" t="s">
        <v>81</v>
      </c>
      <c r="D27" s="146"/>
      <c r="E27" s="146"/>
      <c r="F27" s="19" t="s">
        <v>79</v>
      </c>
      <c r="G27" s="161"/>
      <c r="H27" s="140"/>
      <c r="I27" s="2"/>
      <c r="J27" s="1" t="b">
        <f>EXACT(G27,'Vh5205_C-89'!G27)</f>
        <v>1</v>
      </c>
    </row>
    <row r="28" spans="1:10" x14ac:dyDescent="0.35">
      <c r="A28" s="90">
        <v>25</v>
      </c>
      <c r="B28" s="146" t="s">
        <v>687</v>
      </c>
      <c r="C28" s="146" t="s">
        <v>82</v>
      </c>
      <c r="D28" s="146"/>
      <c r="E28" s="146"/>
      <c r="F28" s="22" t="s">
        <v>79</v>
      </c>
      <c r="G28" s="196"/>
      <c r="H28" s="182"/>
      <c r="I28" s="2"/>
      <c r="J28" s="1" t="b">
        <f>EXACT(G28,'Vh5205_C-89'!G28)</f>
        <v>1</v>
      </c>
    </row>
    <row r="29" spans="1:10" x14ac:dyDescent="0.35">
      <c r="A29" s="90">
        <v>26</v>
      </c>
      <c r="B29" s="99" t="s">
        <v>688</v>
      </c>
      <c r="C29" s="99" t="s">
        <v>312</v>
      </c>
      <c r="D29" s="100"/>
      <c r="E29" s="100"/>
      <c r="F29" s="18" t="s">
        <v>26</v>
      </c>
      <c r="G29" s="196" t="s">
        <v>200</v>
      </c>
      <c r="H29" s="182" t="s">
        <v>652</v>
      </c>
      <c r="I29" s="2"/>
      <c r="J29" s="176" t="b">
        <f>EXACT(G29,'Vh5205_C-89'!G29)</f>
        <v>1</v>
      </c>
    </row>
    <row r="30" spans="1:10" x14ac:dyDescent="0.35">
      <c r="A30" s="90">
        <v>27</v>
      </c>
      <c r="B30" s="102" t="s">
        <v>689</v>
      </c>
      <c r="C30" s="102" t="s">
        <v>147</v>
      </c>
      <c r="D30" s="100"/>
      <c r="E30" s="100"/>
      <c r="F30" s="18" t="s">
        <v>79</v>
      </c>
      <c r="G30" s="161"/>
      <c r="H30" s="140"/>
      <c r="I30" s="2"/>
      <c r="J30" s="1" t="b">
        <f>EXACT(G30,'Vh5205_C-89'!G30)</f>
        <v>1</v>
      </c>
    </row>
    <row r="31" spans="1:10" s="7" customFormat="1" ht="31" x14ac:dyDescent="0.35">
      <c r="A31" s="90">
        <v>28</v>
      </c>
      <c r="B31" s="10" t="s">
        <v>689</v>
      </c>
      <c r="C31" s="10" t="s">
        <v>324</v>
      </c>
      <c r="D31" s="146"/>
      <c r="E31" s="10"/>
      <c r="F31" s="19" t="s">
        <v>26</v>
      </c>
      <c r="G31" s="161" t="s">
        <v>460</v>
      </c>
      <c r="H31" s="177" t="s">
        <v>652</v>
      </c>
      <c r="I31" s="178"/>
      <c r="J31" s="176" t="b">
        <f>EXACT(G31,'Vh5205_C-89'!G31)</f>
        <v>1</v>
      </c>
    </row>
    <row r="32" spans="1:10" s="7" customFormat="1" x14ac:dyDescent="0.35">
      <c r="A32" s="90">
        <v>29</v>
      </c>
      <c r="B32" s="10" t="s">
        <v>689</v>
      </c>
      <c r="C32" s="10" t="s">
        <v>303</v>
      </c>
      <c r="D32" s="146"/>
      <c r="E32" s="10"/>
      <c r="F32" s="19" t="s">
        <v>26</v>
      </c>
      <c r="G32" s="161" t="s">
        <v>461</v>
      </c>
      <c r="H32" s="177" t="s">
        <v>652</v>
      </c>
      <c r="I32" s="178"/>
      <c r="J32" s="176" t="b">
        <f>EXACT(G32,'Vh5205_C-89'!G32)</f>
        <v>1</v>
      </c>
    </row>
    <row r="33" spans="1:10" ht="31" x14ac:dyDescent="0.35">
      <c r="A33" s="90">
        <v>30</v>
      </c>
      <c r="B33" s="10" t="s">
        <v>689</v>
      </c>
      <c r="C33" s="10" t="s">
        <v>304</v>
      </c>
      <c r="D33" s="146"/>
      <c r="E33" s="146"/>
      <c r="F33" s="19" t="s">
        <v>79</v>
      </c>
      <c r="G33" s="161" t="s">
        <v>285</v>
      </c>
      <c r="H33" s="140" t="s">
        <v>652</v>
      </c>
      <c r="I33" s="2"/>
      <c r="J33" s="176" t="b">
        <f>EXACT(G33,'Vh5205_C-89'!G33)</f>
        <v>1</v>
      </c>
    </row>
    <row r="34" spans="1:10" x14ac:dyDescent="0.35">
      <c r="A34" s="90">
        <v>31</v>
      </c>
      <c r="B34" s="10" t="s">
        <v>689</v>
      </c>
      <c r="C34" s="10" t="s">
        <v>83</v>
      </c>
      <c r="D34" s="146"/>
      <c r="E34" s="146" t="s">
        <v>85</v>
      </c>
      <c r="F34" s="19" t="s">
        <v>79</v>
      </c>
      <c r="G34" s="192"/>
      <c r="H34" s="140"/>
      <c r="I34" s="2"/>
      <c r="J34" s="1" t="b">
        <f>EXACT(G34,'Vh5205_C-89'!G34)</f>
        <v>1</v>
      </c>
    </row>
    <row r="35" spans="1:10" x14ac:dyDescent="0.35">
      <c r="A35" s="90">
        <v>32</v>
      </c>
      <c r="B35" s="10" t="s">
        <v>689</v>
      </c>
      <c r="C35" s="10" t="s">
        <v>84</v>
      </c>
      <c r="D35" s="146"/>
      <c r="E35" s="146"/>
      <c r="F35" s="19" t="s">
        <v>79</v>
      </c>
      <c r="G35" s="192"/>
      <c r="H35" s="140"/>
      <c r="I35" s="2"/>
      <c r="J35" s="1" t="b">
        <f>EXACT(G35,'Vh5205_C-89'!G35)</f>
        <v>1</v>
      </c>
    </row>
    <row r="36" spans="1:10" x14ac:dyDescent="0.35">
      <c r="A36" s="90">
        <v>33</v>
      </c>
      <c r="B36" s="10" t="s">
        <v>689</v>
      </c>
      <c r="C36" s="10" t="s">
        <v>61</v>
      </c>
      <c r="D36" s="146"/>
      <c r="E36" s="146"/>
      <c r="F36" s="19" t="s">
        <v>26</v>
      </c>
      <c r="G36" s="192" t="s">
        <v>611</v>
      </c>
      <c r="H36" s="140" t="s">
        <v>652</v>
      </c>
      <c r="I36" s="2"/>
      <c r="J36" s="176" t="b">
        <f>EXACT(G36,'Vh5205_C-89'!G36)</f>
        <v>1</v>
      </c>
    </row>
    <row r="37" spans="1:10" x14ac:dyDescent="0.35">
      <c r="A37" s="90">
        <v>34</v>
      </c>
      <c r="B37" s="13" t="s">
        <v>689</v>
      </c>
      <c r="C37" s="13" t="s">
        <v>56</v>
      </c>
      <c r="D37" s="146"/>
      <c r="E37" s="146"/>
      <c r="F37" s="22" t="s">
        <v>26</v>
      </c>
      <c r="G37" s="194" t="s">
        <v>201</v>
      </c>
      <c r="H37" s="182" t="s">
        <v>652</v>
      </c>
      <c r="I37" s="2"/>
      <c r="J37" s="176" t="b">
        <f>EXACT(G37,'Vh5205_C-89'!G37)</f>
        <v>1</v>
      </c>
    </row>
    <row r="38" spans="1:10" s="7" customFormat="1" x14ac:dyDescent="0.35">
      <c r="A38" s="90">
        <v>35</v>
      </c>
      <c r="B38" s="10" t="s">
        <v>690</v>
      </c>
      <c r="C38" s="10" t="s">
        <v>77</v>
      </c>
      <c r="D38" s="100"/>
      <c r="E38" s="102"/>
      <c r="F38" s="19" t="s">
        <v>26</v>
      </c>
      <c r="G38" s="161" t="s">
        <v>278</v>
      </c>
      <c r="H38" s="177" t="s">
        <v>652</v>
      </c>
      <c r="I38" s="178"/>
      <c r="J38" s="176" t="b">
        <f>EXACT(G38,'Vh5205_C-89'!G38)</f>
        <v>1</v>
      </c>
    </row>
    <row r="39" spans="1:10" s="7" customFormat="1" ht="58" customHeight="1" x14ac:dyDescent="0.35">
      <c r="A39" s="90">
        <v>36</v>
      </c>
      <c r="B39" s="10" t="s">
        <v>690</v>
      </c>
      <c r="C39" s="10" t="s">
        <v>560</v>
      </c>
      <c r="D39" s="146"/>
      <c r="E39" s="10"/>
      <c r="F39" s="19" t="s">
        <v>26</v>
      </c>
      <c r="G39" s="161" t="s">
        <v>716</v>
      </c>
      <c r="H39" s="177" t="s">
        <v>652</v>
      </c>
      <c r="I39" s="179"/>
      <c r="J39" s="176" t="b">
        <f>EXACT(G39,'Vh5205_C-89'!G39)</f>
        <v>1</v>
      </c>
    </row>
    <row r="40" spans="1:10" s="7" customFormat="1" ht="31" x14ac:dyDescent="0.35">
      <c r="A40" s="90">
        <v>37</v>
      </c>
      <c r="B40" s="10" t="s">
        <v>690</v>
      </c>
      <c r="C40" s="10" t="s">
        <v>305</v>
      </c>
      <c r="D40" s="146"/>
      <c r="E40" s="10"/>
      <c r="F40" s="19" t="s">
        <v>26</v>
      </c>
      <c r="G40" s="161" t="s">
        <v>619</v>
      </c>
      <c r="H40" s="177" t="s">
        <v>652</v>
      </c>
      <c r="I40" s="179"/>
      <c r="J40" s="176" t="b">
        <f>EXACT(G40,'Vh5205_C-89'!G40)</f>
        <v>1</v>
      </c>
    </row>
    <row r="41" spans="1:10" s="7" customFormat="1" x14ac:dyDescent="0.35">
      <c r="A41" s="90">
        <v>38</v>
      </c>
      <c r="B41" s="10" t="s">
        <v>690</v>
      </c>
      <c r="C41" s="10" t="s">
        <v>128</v>
      </c>
      <c r="D41" s="146"/>
      <c r="E41" s="10"/>
      <c r="F41" s="19" t="s">
        <v>26</v>
      </c>
      <c r="G41" s="195">
        <v>35458</v>
      </c>
      <c r="H41" s="177" t="s">
        <v>652</v>
      </c>
      <c r="I41" s="178"/>
      <c r="J41" s="176" t="b">
        <f>EXACT(G41,'Vh5205_C-89'!G41)</f>
        <v>1</v>
      </c>
    </row>
    <row r="42" spans="1:10" s="7" customFormat="1" x14ac:dyDescent="0.35">
      <c r="A42" s="90">
        <v>39</v>
      </c>
      <c r="B42" s="10" t="s">
        <v>690</v>
      </c>
      <c r="C42" s="10" t="s">
        <v>129</v>
      </c>
      <c r="D42" s="146"/>
      <c r="E42" s="10"/>
      <c r="F42" s="19" t="s">
        <v>79</v>
      </c>
      <c r="G42" s="192"/>
      <c r="H42" s="177" t="s">
        <v>652</v>
      </c>
      <c r="I42" s="178"/>
      <c r="J42" s="176" t="b">
        <f>EXACT(G42,'Vh5205_C-89'!G42)</f>
        <v>1</v>
      </c>
    </row>
    <row r="43" spans="1:10" s="7" customFormat="1" x14ac:dyDescent="0.35">
      <c r="A43" s="90">
        <v>40</v>
      </c>
      <c r="B43" s="13" t="s">
        <v>690</v>
      </c>
      <c r="C43" s="13" t="s">
        <v>130</v>
      </c>
      <c r="D43" s="87"/>
      <c r="E43" s="13"/>
      <c r="F43" s="22" t="s">
        <v>79</v>
      </c>
      <c r="G43" s="194"/>
      <c r="H43" s="180" t="s">
        <v>652</v>
      </c>
      <c r="I43" s="178"/>
      <c r="J43" s="176" t="b">
        <f>EXACT(G43,'Vh5205_C-89'!G43)</f>
        <v>1</v>
      </c>
    </row>
    <row r="44" spans="1:10" x14ac:dyDescent="0.35">
      <c r="A44" s="90">
        <v>41</v>
      </c>
      <c r="B44" s="102" t="s">
        <v>691</v>
      </c>
      <c r="C44" s="102" t="s">
        <v>117</v>
      </c>
      <c r="D44" s="100"/>
      <c r="E44" s="100"/>
      <c r="F44" s="18" t="s">
        <v>26</v>
      </c>
      <c r="G44" s="161" t="s">
        <v>462</v>
      </c>
      <c r="H44" s="177" t="s">
        <v>652</v>
      </c>
      <c r="I44" s="2"/>
      <c r="J44" s="176" t="b">
        <f>EXACT(G44,'Vh5205_C-89'!G44)</f>
        <v>1</v>
      </c>
    </row>
    <row r="45" spans="1:10" s="7" customFormat="1" x14ac:dyDescent="0.35">
      <c r="A45" s="90">
        <v>42</v>
      </c>
      <c r="B45" s="10" t="s">
        <v>691</v>
      </c>
      <c r="C45" s="10" t="s">
        <v>87</v>
      </c>
      <c r="D45" s="146"/>
      <c r="E45" s="10"/>
      <c r="F45" s="19" t="s">
        <v>79</v>
      </c>
      <c r="G45" s="192" t="s">
        <v>196</v>
      </c>
      <c r="H45" s="177" t="s">
        <v>652</v>
      </c>
      <c r="I45" s="178"/>
      <c r="J45" s="176" t="b">
        <f>EXACT(G45,'Vh5205_C-89'!G45)</f>
        <v>1</v>
      </c>
    </row>
    <row r="46" spans="1:10" s="7" customFormat="1" x14ac:dyDescent="0.35">
      <c r="A46" s="90">
        <v>43</v>
      </c>
      <c r="B46" s="10" t="s">
        <v>691</v>
      </c>
      <c r="C46" s="10" t="s">
        <v>88</v>
      </c>
      <c r="D46" s="146"/>
      <c r="E46" s="10"/>
      <c r="F46" s="19" t="s">
        <v>79</v>
      </c>
      <c r="G46" s="192" t="s">
        <v>196</v>
      </c>
      <c r="H46" s="177" t="s">
        <v>652</v>
      </c>
      <c r="I46" s="178"/>
      <c r="J46" s="176" t="b">
        <f>EXACT(G46,'Vh5205_C-89'!G46)</f>
        <v>1</v>
      </c>
    </row>
    <row r="47" spans="1:10" s="7" customFormat="1" x14ac:dyDescent="0.35">
      <c r="A47" s="90">
        <v>44</v>
      </c>
      <c r="B47" s="10" t="s">
        <v>691</v>
      </c>
      <c r="C47" s="10" t="s">
        <v>60</v>
      </c>
      <c r="D47" s="146"/>
      <c r="E47" s="10"/>
      <c r="F47" s="19" t="s">
        <v>79</v>
      </c>
      <c r="G47" s="192" t="s">
        <v>500</v>
      </c>
      <c r="H47" s="177" t="s">
        <v>652</v>
      </c>
      <c r="I47" s="178"/>
      <c r="J47" s="176" t="b">
        <f>EXACT(G47,'Vh5205_C-89'!G47)</f>
        <v>1</v>
      </c>
    </row>
    <row r="48" spans="1:10" x14ac:dyDescent="0.35">
      <c r="A48" s="90">
        <v>45</v>
      </c>
      <c r="B48" s="10" t="s">
        <v>691</v>
      </c>
      <c r="C48" s="10" t="s">
        <v>90</v>
      </c>
      <c r="D48" s="146"/>
      <c r="E48" s="146"/>
      <c r="F48" s="19" t="s">
        <v>26</v>
      </c>
      <c r="G48" s="161" t="s">
        <v>649</v>
      </c>
      <c r="H48" s="177" t="s">
        <v>652</v>
      </c>
      <c r="I48" s="2"/>
      <c r="J48" s="176" t="b">
        <f>EXACT(G48,'Vh5205_C-89'!G48)</f>
        <v>1</v>
      </c>
    </row>
    <row r="49" spans="1:10" x14ac:dyDescent="0.35">
      <c r="A49" s="90">
        <v>46</v>
      </c>
      <c r="B49" s="10" t="s">
        <v>691</v>
      </c>
      <c r="C49" s="10" t="s">
        <v>91</v>
      </c>
      <c r="D49" s="146"/>
      <c r="E49" s="146"/>
      <c r="F49" s="19" t="s">
        <v>26</v>
      </c>
      <c r="G49" s="161" t="s">
        <v>649</v>
      </c>
      <c r="H49" s="177" t="s">
        <v>652</v>
      </c>
      <c r="I49" s="2"/>
      <c r="J49" s="176" t="b">
        <f>EXACT(G49,'Vh5205_C-89'!G49)</f>
        <v>1</v>
      </c>
    </row>
    <row r="50" spans="1:10" x14ac:dyDescent="0.35">
      <c r="A50" s="90">
        <v>47</v>
      </c>
      <c r="B50" s="13" t="s">
        <v>691</v>
      </c>
      <c r="C50" s="13" t="s">
        <v>86</v>
      </c>
      <c r="D50" s="87"/>
      <c r="E50" s="87"/>
      <c r="F50" s="22" t="s">
        <v>79</v>
      </c>
      <c r="G50" s="194"/>
      <c r="H50" s="180"/>
      <c r="I50" s="2"/>
      <c r="J50" s="1" t="b">
        <f>EXACT(G50,'Vh5205_C-89'!G50)</f>
        <v>1</v>
      </c>
    </row>
    <row r="51" spans="1:10" s="7" customFormat="1" x14ac:dyDescent="0.35">
      <c r="A51" s="90">
        <v>48</v>
      </c>
      <c r="B51" s="10" t="s">
        <v>692</v>
      </c>
      <c r="C51" s="10" t="s">
        <v>95</v>
      </c>
      <c r="D51" s="146"/>
      <c r="E51" s="10" t="s">
        <v>92</v>
      </c>
      <c r="F51" s="19" t="s">
        <v>26</v>
      </c>
      <c r="G51" s="161" t="s">
        <v>680</v>
      </c>
      <c r="H51" s="177" t="s">
        <v>652</v>
      </c>
      <c r="I51" s="178"/>
      <c r="J51" s="176" t="b">
        <f>EXACT(G51,'Vh5205_C-89'!G51)</f>
        <v>1</v>
      </c>
    </row>
    <row r="52" spans="1:10" s="7" customFormat="1" x14ac:dyDescent="0.35">
      <c r="A52" s="90">
        <v>49</v>
      </c>
      <c r="B52" s="10" t="s">
        <v>692</v>
      </c>
      <c r="C52" s="10" t="s">
        <v>96</v>
      </c>
      <c r="D52" s="146"/>
      <c r="E52" s="10" t="s">
        <v>92</v>
      </c>
      <c r="F52" s="19" t="s">
        <v>26</v>
      </c>
      <c r="G52" s="161" t="s">
        <v>681</v>
      </c>
      <c r="H52" s="177" t="s">
        <v>652</v>
      </c>
      <c r="I52" s="178"/>
      <c r="J52" s="176" t="b">
        <f>EXACT(G52,'Vh5205_C-89'!G52)</f>
        <v>1</v>
      </c>
    </row>
    <row r="53" spans="1:10" s="7" customFormat="1" x14ac:dyDescent="0.35">
      <c r="A53" s="90">
        <v>50</v>
      </c>
      <c r="B53" s="10" t="s">
        <v>692</v>
      </c>
      <c r="C53" s="10" t="s">
        <v>149</v>
      </c>
      <c r="D53" s="146"/>
      <c r="E53" s="10"/>
      <c r="F53" s="19" t="s">
        <v>26</v>
      </c>
      <c r="G53" s="161" t="s">
        <v>681</v>
      </c>
      <c r="H53" s="177" t="s">
        <v>652</v>
      </c>
      <c r="I53" s="178"/>
      <c r="J53" s="176" t="b">
        <f>EXACT(G53,'Vh5205_C-89'!G53)</f>
        <v>1</v>
      </c>
    </row>
    <row r="54" spans="1:10" s="7" customFormat="1" x14ac:dyDescent="0.35">
      <c r="A54" s="90">
        <v>51</v>
      </c>
      <c r="B54" s="10" t="s">
        <v>692</v>
      </c>
      <c r="C54" s="10" t="s">
        <v>148</v>
      </c>
      <c r="D54" s="10"/>
      <c r="E54" s="10"/>
      <c r="F54" s="19" t="s">
        <v>79</v>
      </c>
      <c r="G54" s="161" t="s">
        <v>467</v>
      </c>
      <c r="H54" s="177" t="s">
        <v>652</v>
      </c>
      <c r="I54" s="178"/>
      <c r="J54" s="176" t="b">
        <f>EXACT(G54,'Vh5205_C-89'!G54)</f>
        <v>1</v>
      </c>
    </row>
    <row r="55" spans="1:10" s="7" customFormat="1" x14ac:dyDescent="0.35">
      <c r="A55" s="90">
        <v>52</v>
      </c>
      <c r="B55" s="10" t="s">
        <v>692</v>
      </c>
      <c r="C55" s="10" t="s">
        <v>100</v>
      </c>
      <c r="D55" s="146"/>
      <c r="E55" s="10"/>
      <c r="F55" s="19" t="s">
        <v>79</v>
      </c>
      <c r="G55" s="192"/>
      <c r="H55" s="177"/>
      <c r="I55" s="178"/>
      <c r="J55" s="1" t="b">
        <f>EXACT(G55,'Vh5205_C-89'!G55)</f>
        <v>1</v>
      </c>
    </row>
    <row r="56" spans="1:10" s="7" customFormat="1" x14ac:dyDescent="0.35">
      <c r="A56" s="90">
        <v>53</v>
      </c>
      <c r="B56" s="13" t="s">
        <v>692</v>
      </c>
      <c r="C56" s="13" t="s">
        <v>101</v>
      </c>
      <c r="D56" s="87"/>
      <c r="E56" s="13"/>
      <c r="F56" s="22" t="s">
        <v>79</v>
      </c>
      <c r="G56" s="194"/>
      <c r="H56" s="180"/>
      <c r="I56" s="178"/>
      <c r="J56" s="1" t="b">
        <f>EXACT(G56,'Vh5205_C-89'!G56)</f>
        <v>1</v>
      </c>
    </row>
    <row r="57" spans="1:10" s="7" customFormat="1" x14ac:dyDescent="0.35">
      <c r="A57" s="90">
        <v>54</v>
      </c>
      <c r="B57" s="102" t="s">
        <v>693</v>
      </c>
      <c r="C57" s="102" t="s">
        <v>93</v>
      </c>
      <c r="D57" s="146"/>
      <c r="E57" s="10"/>
      <c r="F57" s="19" t="s">
        <v>26</v>
      </c>
      <c r="G57" s="161" t="s">
        <v>483</v>
      </c>
      <c r="H57" s="177" t="s">
        <v>652</v>
      </c>
      <c r="I57" s="178"/>
      <c r="J57" s="176" t="b">
        <f>EXACT(G57,'Vh5205_C-89'!G57)</f>
        <v>1</v>
      </c>
    </row>
    <row r="58" spans="1:10" s="7" customFormat="1" x14ac:dyDescent="0.35">
      <c r="A58" s="90">
        <v>55</v>
      </c>
      <c r="B58" s="10" t="s">
        <v>693</v>
      </c>
      <c r="C58" s="10" t="s">
        <v>104</v>
      </c>
      <c r="D58" s="146"/>
      <c r="E58" s="10" t="s">
        <v>51</v>
      </c>
      <c r="F58" s="19" t="s">
        <v>26</v>
      </c>
      <c r="G58" s="161" t="s">
        <v>524</v>
      </c>
      <c r="H58" s="177" t="s">
        <v>652</v>
      </c>
      <c r="I58" s="178"/>
      <c r="J58" s="176" t="b">
        <f>EXACT(G58,'Vh5205_C-89'!G58)</f>
        <v>1</v>
      </c>
    </row>
    <row r="59" spans="1:10" s="7" customFormat="1" x14ac:dyDescent="0.35">
      <c r="A59" s="90">
        <v>56</v>
      </c>
      <c r="B59" s="104" t="s">
        <v>693</v>
      </c>
      <c r="C59" s="104" t="s">
        <v>418</v>
      </c>
      <c r="D59" s="104"/>
      <c r="E59" s="104"/>
      <c r="F59" s="19" t="s">
        <v>26</v>
      </c>
      <c r="G59" s="161" t="s">
        <v>524</v>
      </c>
      <c r="H59" s="177" t="s">
        <v>652</v>
      </c>
      <c r="I59" s="178"/>
      <c r="J59" s="176" t="b">
        <f>EXACT(G59,'Vh5205_C-89'!G59)</f>
        <v>1</v>
      </c>
    </row>
    <row r="60" spans="1:10" s="7" customFormat="1" x14ac:dyDescent="0.35">
      <c r="A60" s="90">
        <v>57</v>
      </c>
      <c r="B60" s="10" t="s">
        <v>693</v>
      </c>
      <c r="C60" s="10" t="s">
        <v>103</v>
      </c>
      <c r="D60" s="146"/>
      <c r="E60" s="10"/>
      <c r="F60" s="19" t="s">
        <v>79</v>
      </c>
      <c r="G60" s="161" t="s">
        <v>524</v>
      </c>
      <c r="H60" s="177" t="s">
        <v>652</v>
      </c>
      <c r="I60" s="178"/>
      <c r="J60" s="176" t="b">
        <f>EXACT(G60,'Vh5205_C-89'!G60)</f>
        <v>1</v>
      </c>
    </row>
    <row r="61" spans="1:10" s="7" customFormat="1" x14ac:dyDescent="0.35">
      <c r="A61" s="90">
        <v>58</v>
      </c>
      <c r="B61" s="10" t="s">
        <v>693</v>
      </c>
      <c r="C61" s="10" t="s">
        <v>125</v>
      </c>
      <c r="D61" s="146"/>
      <c r="E61" s="10" t="s">
        <v>1</v>
      </c>
      <c r="F61" s="19" t="s">
        <v>79</v>
      </c>
      <c r="G61" s="161"/>
      <c r="H61" s="177"/>
      <c r="I61" s="178"/>
      <c r="J61" s="2" t="b">
        <f>EXACT(G61,'Vh5205_C-89'!G61)</f>
        <v>1</v>
      </c>
    </row>
    <row r="62" spans="1:10" s="7" customFormat="1" x14ac:dyDescent="0.35">
      <c r="A62" s="90">
        <v>59</v>
      </c>
      <c r="B62" s="10" t="s">
        <v>693</v>
      </c>
      <c r="C62" s="10" t="s">
        <v>62</v>
      </c>
      <c r="D62" s="146"/>
      <c r="E62" s="10" t="s">
        <v>51</v>
      </c>
      <c r="F62" s="19" t="s">
        <v>79</v>
      </c>
      <c r="G62" s="161"/>
      <c r="H62" s="177"/>
      <c r="I62" s="178"/>
      <c r="J62" s="1" t="b">
        <f>EXACT(G62,'Vh5205_C-89'!G62)</f>
        <v>1</v>
      </c>
    </row>
    <row r="63" spans="1:10" s="7" customFormat="1" x14ac:dyDescent="0.35">
      <c r="A63" s="90">
        <v>60</v>
      </c>
      <c r="B63" s="10" t="s">
        <v>693</v>
      </c>
      <c r="C63" s="10" t="s">
        <v>63</v>
      </c>
      <c r="D63" s="146"/>
      <c r="E63" s="10" t="s">
        <v>51</v>
      </c>
      <c r="F63" s="19" t="s">
        <v>79</v>
      </c>
      <c r="G63" s="161"/>
      <c r="H63" s="177"/>
      <c r="I63" s="178"/>
      <c r="J63" s="1" t="b">
        <f>EXACT(G63,'Vh5205_C-89'!G63)</f>
        <v>1</v>
      </c>
    </row>
    <row r="64" spans="1:10" s="7" customFormat="1" x14ac:dyDescent="0.35">
      <c r="A64" s="174">
        <v>61</v>
      </c>
      <c r="B64" s="10" t="s">
        <v>693</v>
      </c>
      <c r="C64" s="10" t="s">
        <v>126</v>
      </c>
      <c r="D64" s="146"/>
      <c r="E64" s="10"/>
      <c r="F64" s="19" t="s">
        <v>79</v>
      </c>
      <c r="G64" s="161"/>
      <c r="H64" s="177"/>
      <c r="I64" s="178"/>
      <c r="J64" s="1" t="b">
        <f>EXACT(G64,'Vh5205_C-89'!G64)</f>
        <v>1</v>
      </c>
    </row>
    <row r="65" spans="1:10" s="7" customFormat="1" x14ac:dyDescent="0.35">
      <c r="A65" s="174">
        <v>62</v>
      </c>
      <c r="B65" s="10" t="s">
        <v>693</v>
      </c>
      <c r="C65" s="10" t="s">
        <v>52</v>
      </c>
      <c r="D65" s="146"/>
      <c r="E65" s="10"/>
      <c r="F65" s="19" t="s">
        <v>79</v>
      </c>
      <c r="G65" s="161"/>
      <c r="H65" s="177"/>
      <c r="I65" s="178"/>
      <c r="J65" s="1" t="b">
        <f>EXACT(G65,'Vh5205_C-89'!G65)</f>
        <v>1</v>
      </c>
    </row>
    <row r="66" spans="1:10" s="7" customFormat="1" x14ac:dyDescent="0.35">
      <c r="A66" s="174">
        <v>63</v>
      </c>
      <c r="B66" s="10" t="s">
        <v>693</v>
      </c>
      <c r="C66" s="10" t="s">
        <v>189</v>
      </c>
      <c r="D66" s="146"/>
      <c r="E66" s="10"/>
      <c r="F66" s="19" t="s">
        <v>79</v>
      </c>
      <c r="G66" s="161" t="s">
        <v>682</v>
      </c>
      <c r="H66" s="177" t="s">
        <v>652</v>
      </c>
      <c r="I66" s="178"/>
      <c r="J66" s="176" t="b">
        <f>EXACT(G66,'Vh5205_C-89'!G66)</f>
        <v>1</v>
      </c>
    </row>
    <row r="67" spans="1:10" s="7" customFormat="1" x14ac:dyDescent="0.35">
      <c r="A67" s="174">
        <v>64</v>
      </c>
      <c r="B67" s="10" t="s">
        <v>693</v>
      </c>
      <c r="C67" s="10" t="s">
        <v>190</v>
      </c>
      <c r="D67" s="146"/>
      <c r="E67" s="10"/>
      <c r="F67" s="19" t="s">
        <v>79</v>
      </c>
      <c r="G67" s="192"/>
      <c r="H67" s="177"/>
      <c r="I67" s="178"/>
      <c r="J67" s="1" t="b">
        <f>EXACT(G67,'Vh5205_C-89'!G67)</f>
        <v>1</v>
      </c>
    </row>
    <row r="68" spans="1:10" s="7" customFormat="1" x14ac:dyDescent="0.35">
      <c r="A68" s="174">
        <v>65</v>
      </c>
      <c r="B68" s="10" t="s">
        <v>693</v>
      </c>
      <c r="C68" s="10" t="s">
        <v>382</v>
      </c>
      <c r="D68" s="146"/>
      <c r="E68" s="10"/>
      <c r="F68" s="19" t="s">
        <v>79</v>
      </c>
      <c r="G68" s="161" t="s">
        <v>620</v>
      </c>
      <c r="H68" s="177" t="s">
        <v>652</v>
      </c>
      <c r="I68" s="178"/>
      <c r="J68" s="176" t="b">
        <f>EXACT(G68,'Vh5205_C-89'!G68)</f>
        <v>1</v>
      </c>
    </row>
    <row r="69" spans="1:10" s="7" customFormat="1" ht="47.5" customHeight="1" x14ac:dyDescent="0.35">
      <c r="A69" s="174">
        <v>66</v>
      </c>
      <c r="B69" s="10" t="s">
        <v>693</v>
      </c>
      <c r="C69" s="10" t="s">
        <v>419</v>
      </c>
      <c r="D69" s="146"/>
      <c r="E69" s="10" t="s">
        <v>480</v>
      </c>
      <c r="F69" s="19" t="s">
        <v>26</v>
      </c>
      <c r="G69" s="161" t="s">
        <v>650</v>
      </c>
      <c r="H69" s="177" t="s">
        <v>652</v>
      </c>
      <c r="I69" s="178"/>
      <c r="J69" s="176" t="b">
        <f>EXACT(G69,'Vh5205_C-89'!G69)</f>
        <v>1</v>
      </c>
    </row>
    <row r="70" spans="1:10" s="7" customFormat="1" ht="41.15" customHeight="1" x14ac:dyDescent="0.35">
      <c r="A70" s="174">
        <v>67</v>
      </c>
      <c r="B70" s="104" t="s">
        <v>693</v>
      </c>
      <c r="C70" s="104" t="s">
        <v>420</v>
      </c>
      <c r="D70" s="104"/>
      <c r="E70" s="104"/>
      <c r="F70" s="19" t="s">
        <v>26</v>
      </c>
      <c r="G70" s="161" t="s">
        <v>717</v>
      </c>
      <c r="H70" s="177" t="s">
        <v>652</v>
      </c>
      <c r="I70" s="178"/>
      <c r="J70" s="176" t="b">
        <f>EXACT(G70,'Vh5205_C-89'!G70)</f>
        <v>1</v>
      </c>
    </row>
    <row r="71" spans="1:10" s="7" customFormat="1" x14ac:dyDescent="0.35">
      <c r="A71" s="90">
        <v>68</v>
      </c>
      <c r="B71" s="104" t="s">
        <v>693</v>
      </c>
      <c r="C71" s="104" t="s">
        <v>421</v>
      </c>
      <c r="D71" s="107"/>
      <c r="E71" s="107"/>
      <c r="F71" s="22" t="s">
        <v>79</v>
      </c>
      <c r="G71" s="196"/>
      <c r="H71" s="180"/>
      <c r="I71" s="178"/>
      <c r="J71" s="1" t="b">
        <f>EXACT(G71,'Vh5205_C-89'!G71)</f>
        <v>1</v>
      </c>
    </row>
    <row r="72" spans="1:10" s="7" customFormat="1" x14ac:dyDescent="0.35">
      <c r="A72" s="90">
        <v>69</v>
      </c>
      <c r="B72" s="102" t="s">
        <v>694</v>
      </c>
      <c r="C72" s="102" t="s">
        <v>422</v>
      </c>
      <c r="D72" s="10"/>
      <c r="E72" s="10"/>
      <c r="F72" s="19" t="s">
        <v>79</v>
      </c>
      <c r="G72" s="161"/>
      <c r="H72" s="177"/>
      <c r="I72" s="178"/>
      <c r="J72" s="1" t="b">
        <f>EXACT(G72,'Vh5205_C-89'!G72)</f>
        <v>1</v>
      </c>
    </row>
    <row r="73" spans="1:10" s="7" customFormat="1" x14ac:dyDescent="0.35">
      <c r="A73" s="90">
        <v>70</v>
      </c>
      <c r="B73" s="13" t="s">
        <v>694</v>
      </c>
      <c r="C73" s="13" t="s">
        <v>102</v>
      </c>
      <c r="D73" s="87"/>
      <c r="E73" s="13"/>
      <c r="F73" s="22" t="s">
        <v>79</v>
      </c>
      <c r="G73" s="196"/>
      <c r="H73" s="180"/>
      <c r="I73" s="178"/>
      <c r="J73" s="1" t="b">
        <f>EXACT(G73,'Vh5205_C-89'!G73)</f>
        <v>1</v>
      </c>
    </row>
    <row r="74" spans="1:10" s="7" customFormat="1" x14ac:dyDescent="0.35">
      <c r="A74" s="90">
        <v>71</v>
      </c>
      <c r="B74" s="10" t="s">
        <v>695</v>
      </c>
      <c r="C74" s="10" t="s">
        <v>127</v>
      </c>
      <c r="D74" s="146"/>
      <c r="E74" s="10" t="s">
        <v>4</v>
      </c>
      <c r="F74" s="19" t="s">
        <v>79</v>
      </c>
      <c r="G74" s="161"/>
      <c r="H74" s="177"/>
      <c r="I74" s="178"/>
      <c r="J74" s="1" t="b">
        <f>EXACT(G74,'Vh5205_C-89'!G74)</f>
        <v>1</v>
      </c>
    </row>
    <row r="75" spans="1:10" s="7" customFormat="1" x14ac:dyDescent="0.35">
      <c r="A75" s="90">
        <v>72</v>
      </c>
      <c r="B75" s="10" t="s">
        <v>695</v>
      </c>
      <c r="C75" s="10" t="s">
        <v>298</v>
      </c>
      <c r="D75" s="146"/>
      <c r="E75" s="10" t="s">
        <v>4</v>
      </c>
      <c r="F75" s="19" t="s">
        <v>79</v>
      </c>
      <c r="G75" s="192" t="s">
        <v>655</v>
      </c>
      <c r="H75" s="177" t="s">
        <v>652</v>
      </c>
      <c r="I75" s="178"/>
      <c r="J75" s="176" t="b">
        <f>EXACT(G75,'Vh5205_C-89'!G75)</f>
        <v>1</v>
      </c>
    </row>
    <row r="76" spans="1:10" s="7" customFormat="1" x14ac:dyDescent="0.35">
      <c r="A76" s="90">
        <v>73</v>
      </c>
      <c r="B76" s="10" t="s">
        <v>695</v>
      </c>
      <c r="C76" s="10" t="s">
        <v>115</v>
      </c>
      <c r="D76" s="146"/>
      <c r="E76" s="10"/>
      <c r="F76" s="22" t="s">
        <v>79</v>
      </c>
      <c r="G76" s="196"/>
      <c r="H76" s="180"/>
      <c r="I76" s="178"/>
      <c r="J76" s="1" t="b">
        <f>EXACT(G76,'Vh5205_C-89'!G76)</f>
        <v>1</v>
      </c>
    </row>
    <row r="77" spans="1:10" x14ac:dyDescent="0.35">
      <c r="A77" s="90">
        <v>74</v>
      </c>
      <c r="B77" s="100" t="s">
        <v>696</v>
      </c>
      <c r="C77" s="100" t="s">
        <v>43</v>
      </c>
      <c r="D77" s="100"/>
      <c r="E77" s="100"/>
      <c r="F77" s="19" t="s">
        <v>79</v>
      </c>
      <c r="G77" s="161" t="s">
        <v>507</v>
      </c>
      <c r="H77" s="140"/>
      <c r="I77" s="2"/>
      <c r="J77" s="1" t="b">
        <f>EXACT(G77,'Vh5205_C-89'!G77)</f>
        <v>0</v>
      </c>
    </row>
    <row r="78" spans="1:10" x14ac:dyDescent="0.35">
      <c r="A78" s="90">
        <v>75</v>
      </c>
      <c r="B78" s="146" t="s">
        <v>696</v>
      </c>
      <c r="C78" s="146" t="s">
        <v>114</v>
      </c>
      <c r="D78" s="146"/>
      <c r="E78" s="146"/>
      <c r="F78" s="19" t="s">
        <v>79</v>
      </c>
      <c r="G78" s="161"/>
      <c r="H78" s="140"/>
      <c r="I78" s="2"/>
      <c r="J78" s="1" t="b">
        <f>EXACT(G78,'Vh5205_C-89'!G78)</f>
        <v>1</v>
      </c>
    </row>
    <row r="79" spans="1:10" x14ac:dyDescent="0.35">
      <c r="A79" s="90">
        <v>76</v>
      </c>
      <c r="B79" s="10" t="s">
        <v>696</v>
      </c>
      <c r="C79" s="10" t="s">
        <v>338</v>
      </c>
      <c r="D79" s="146"/>
      <c r="E79" s="146"/>
      <c r="F79" s="19" t="s">
        <v>79</v>
      </c>
      <c r="G79" s="192" t="s">
        <v>615</v>
      </c>
      <c r="H79" s="140" t="s">
        <v>652</v>
      </c>
      <c r="I79" s="2"/>
      <c r="J79" s="176" t="b">
        <f>EXACT(G79,'Vh5205_C-89'!G79)</f>
        <v>1</v>
      </c>
    </row>
    <row r="80" spans="1:10" x14ac:dyDescent="0.35">
      <c r="A80" s="90">
        <v>77</v>
      </c>
      <c r="B80" s="10" t="s">
        <v>696</v>
      </c>
      <c r="C80" s="10" t="s">
        <v>150</v>
      </c>
      <c r="D80" s="146"/>
      <c r="E80" s="146"/>
      <c r="F80" s="19" t="s">
        <v>26</v>
      </c>
      <c r="G80" s="192" t="s">
        <v>612</v>
      </c>
      <c r="H80" s="140" t="s">
        <v>652</v>
      </c>
      <c r="I80" s="2"/>
      <c r="J80" s="176" t="b">
        <f>EXACT(G80,'Vh5205_C-89'!G80)</f>
        <v>1</v>
      </c>
    </row>
    <row r="81" spans="1:10" x14ac:dyDescent="0.35">
      <c r="A81" s="90">
        <v>78</v>
      </c>
      <c r="B81" s="10" t="s">
        <v>696</v>
      </c>
      <c r="C81" s="10" t="s">
        <v>152</v>
      </c>
      <c r="D81" s="146"/>
      <c r="E81" s="146"/>
      <c r="F81" s="19" t="s">
        <v>26</v>
      </c>
      <c r="G81" s="192" t="s">
        <v>267</v>
      </c>
      <c r="H81" s="140" t="s">
        <v>652</v>
      </c>
      <c r="I81" s="2"/>
      <c r="J81" s="176" t="b">
        <f>EXACT(G81,'Vh5205_C-89'!G81)</f>
        <v>1</v>
      </c>
    </row>
    <row r="82" spans="1:10" x14ac:dyDescent="0.35">
      <c r="A82" s="90">
        <v>79</v>
      </c>
      <c r="B82" s="10" t="s">
        <v>696</v>
      </c>
      <c r="C82" s="10" t="s">
        <v>153</v>
      </c>
      <c r="D82" s="146"/>
      <c r="E82" s="146"/>
      <c r="F82" s="19" t="s">
        <v>26</v>
      </c>
      <c r="G82" s="192" t="s">
        <v>268</v>
      </c>
      <c r="H82" s="140" t="s">
        <v>652</v>
      </c>
      <c r="I82" s="2"/>
      <c r="J82" s="176" t="b">
        <f>EXACT(G82,'Vh5205_C-89'!G82)</f>
        <v>1</v>
      </c>
    </row>
    <row r="83" spans="1:10" ht="31" x14ac:dyDescent="0.35">
      <c r="A83" s="90">
        <v>80</v>
      </c>
      <c r="B83" s="10" t="s">
        <v>696</v>
      </c>
      <c r="C83" s="10" t="s">
        <v>9</v>
      </c>
      <c r="D83" s="146"/>
      <c r="E83" s="146"/>
      <c r="F83" s="19" t="s">
        <v>26</v>
      </c>
      <c r="G83" s="161" t="s">
        <v>715</v>
      </c>
      <c r="H83" s="140" t="s">
        <v>652</v>
      </c>
      <c r="I83" s="2"/>
      <c r="J83" s="176" t="b">
        <f>EXACT(G83,'Vh5205_C-89'!G83)</f>
        <v>1</v>
      </c>
    </row>
    <row r="84" spans="1:10" x14ac:dyDescent="0.35">
      <c r="A84" s="90">
        <v>81</v>
      </c>
      <c r="B84" s="10" t="s">
        <v>696</v>
      </c>
      <c r="C84" s="10" t="s">
        <v>339</v>
      </c>
      <c r="D84" s="146"/>
      <c r="E84" s="146"/>
      <c r="F84" s="19" t="s">
        <v>26</v>
      </c>
      <c r="G84" s="161" t="s">
        <v>718</v>
      </c>
      <c r="H84" s="140" t="s">
        <v>652</v>
      </c>
      <c r="I84" s="2"/>
      <c r="J84" s="176" t="b">
        <f>EXACT(G84,'Vh5205_C-89'!G84)</f>
        <v>1</v>
      </c>
    </row>
    <row r="85" spans="1:10" ht="31" x14ac:dyDescent="0.35">
      <c r="A85" s="90">
        <v>82</v>
      </c>
      <c r="B85" s="10" t="s">
        <v>696</v>
      </c>
      <c r="C85" s="10" t="s">
        <v>573</v>
      </c>
      <c r="D85" s="146"/>
      <c r="E85" s="146"/>
      <c r="F85" s="19" t="s">
        <v>26</v>
      </c>
      <c r="G85" s="161" t="s">
        <v>537</v>
      </c>
      <c r="H85" s="140" t="s">
        <v>652</v>
      </c>
      <c r="I85" s="2"/>
      <c r="J85" s="176" t="b">
        <f>EXACT(G85,'Vh5205_C-89'!G85)</f>
        <v>1</v>
      </c>
    </row>
    <row r="86" spans="1:10" s="7" customFormat="1" ht="63" customHeight="1" x14ac:dyDescent="0.35">
      <c r="A86" s="90">
        <v>83</v>
      </c>
      <c r="B86" s="13" t="s">
        <v>696</v>
      </c>
      <c r="C86" s="13" t="s">
        <v>133</v>
      </c>
      <c r="D86" s="87"/>
      <c r="E86" s="87" t="s">
        <v>51</v>
      </c>
      <c r="F86" s="22" t="s">
        <v>79</v>
      </c>
      <c r="G86" s="196" t="s">
        <v>651</v>
      </c>
      <c r="H86" s="182" t="s">
        <v>652</v>
      </c>
      <c r="I86" s="178"/>
      <c r="J86" s="176" t="b">
        <f>EXACT(G86,'Vh5205_C-89'!G86)</f>
        <v>1</v>
      </c>
    </row>
    <row r="87" spans="1:10" x14ac:dyDescent="0.35">
      <c r="A87" s="90">
        <v>84</v>
      </c>
      <c r="B87" s="146" t="s">
        <v>697</v>
      </c>
      <c r="C87" s="146" t="s">
        <v>299</v>
      </c>
      <c r="D87" s="94"/>
      <c r="E87" s="146"/>
      <c r="F87" s="19" t="s">
        <v>79</v>
      </c>
      <c r="G87" s="204" t="s">
        <v>502</v>
      </c>
      <c r="H87" s="140" t="s">
        <v>652</v>
      </c>
      <c r="I87" s="2"/>
      <c r="J87" s="176" t="b">
        <f>EXACT(G87,'Vh5205_C-89'!G87)</f>
        <v>1</v>
      </c>
    </row>
    <row r="88" spans="1:10" x14ac:dyDescent="0.35">
      <c r="A88" s="90">
        <v>85</v>
      </c>
      <c r="B88" s="10" t="s">
        <v>697</v>
      </c>
      <c r="C88" s="10" t="s">
        <v>300</v>
      </c>
      <c r="D88" s="94"/>
      <c r="E88" s="146"/>
      <c r="F88" s="19" t="s">
        <v>79</v>
      </c>
      <c r="G88" s="192" t="s">
        <v>617</v>
      </c>
      <c r="H88" s="140" t="s">
        <v>652</v>
      </c>
      <c r="I88" s="2"/>
      <c r="J88" s="176" t="b">
        <f>EXACT(G88,'Vh5205_C-89'!G88)</f>
        <v>1</v>
      </c>
    </row>
    <row r="89" spans="1:10" x14ac:dyDescent="0.35">
      <c r="A89" s="90">
        <v>86</v>
      </c>
      <c r="B89" s="10" t="s">
        <v>697</v>
      </c>
      <c r="C89" s="10" t="s">
        <v>156</v>
      </c>
      <c r="D89" s="146"/>
      <c r="E89" s="146" t="s">
        <v>0</v>
      </c>
      <c r="F89" s="19" t="s">
        <v>79</v>
      </c>
      <c r="G89" s="192">
        <v>1</v>
      </c>
      <c r="H89" s="140" t="s">
        <v>652</v>
      </c>
      <c r="I89" s="2"/>
      <c r="J89" s="176" t="b">
        <f>EXACT(G89,'Vh5205_C-89'!G89)</f>
        <v>1</v>
      </c>
    </row>
    <row r="90" spans="1:10" x14ac:dyDescent="0.35">
      <c r="A90" s="90">
        <v>87</v>
      </c>
      <c r="B90" s="10" t="s">
        <v>697</v>
      </c>
      <c r="C90" s="10" t="s">
        <v>132</v>
      </c>
      <c r="D90" s="146"/>
      <c r="E90" s="146" t="s">
        <v>0</v>
      </c>
      <c r="F90" s="19" t="s">
        <v>79</v>
      </c>
      <c r="G90" s="192">
        <v>20</v>
      </c>
      <c r="H90" s="140" t="s">
        <v>652</v>
      </c>
      <c r="I90" s="2"/>
      <c r="J90" s="176" t="b">
        <f>EXACT(G90,'Vh5205_C-89'!G90)</f>
        <v>1</v>
      </c>
    </row>
    <row r="91" spans="1:10" s="7" customFormat="1" x14ac:dyDescent="0.35">
      <c r="A91" s="90">
        <v>88</v>
      </c>
      <c r="B91" s="10" t="s">
        <v>697</v>
      </c>
      <c r="C91" s="10" t="s">
        <v>343</v>
      </c>
      <c r="D91" s="146"/>
      <c r="E91" s="146"/>
      <c r="F91" s="20" t="s">
        <v>26</v>
      </c>
      <c r="G91" s="161" t="s">
        <v>625</v>
      </c>
      <c r="H91" s="140" t="s">
        <v>652</v>
      </c>
      <c r="I91" s="178"/>
      <c r="J91" s="176" t="b">
        <f>EXACT(G91,'Vh5205_C-89'!G91)</f>
        <v>1</v>
      </c>
    </row>
    <row r="92" spans="1:10" s="7" customFormat="1" ht="31" x14ac:dyDescent="0.35">
      <c r="A92" s="90">
        <v>89</v>
      </c>
      <c r="B92" s="10" t="s">
        <v>697</v>
      </c>
      <c r="C92" s="10" t="s">
        <v>425</v>
      </c>
      <c r="D92" s="146"/>
      <c r="E92" s="146"/>
      <c r="F92" s="20" t="s">
        <v>26</v>
      </c>
      <c r="G92" s="161" t="s">
        <v>621</v>
      </c>
      <c r="H92" s="140" t="s">
        <v>652</v>
      </c>
      <c r="I92" s="178"/>
      <c r="J92" s="176" t="b">
        <f>EXACT(G92,'Vh5205_C-89'!G92)</f>
        <v>1</v>
      </c>
    </row>
    <row r="93" spans="1:10" ht="31" x14ac:dyDescent="0.35">
      <c r="A93" s="90">
        <v>90</v>
      </c>
      <c r="B93" s="87" t="s">
        <v>697</v>
      </c>
      <c r="C93" s="87" t="s">
        <v>157</v>
      </c>
      <c r="D93" s="87"/>
      <c r="E93" s="87"/>
      <c r="F93" s="21" t="s">
        <v>26</v>
      </c>
      <c r="G93" s="196" t="s">
        <v>719</v>
      </c>
      <c r="H93" s="182" t="s">
        <v>652</v>
      </c>
      <c r="I93" s="2"/>
      <c r="J93" s="176" t="b">
        <f>EXACT(G93,'Vh5205_C-89'!G93)</f>
        <v>1</v>
      </c>
    </row>
    <row r="94" spans="1:10" s="7" customFormat="1" x14ac:dyDescent="0.35">
      <c r="A94" s="90">
        <v>91</v>
      </c>
      <c r="B94" s="10" t="s">
        <v>698</v>
      </c>
      <c r="C94" s="10" t="s">
        <v>159</v>
      </c>
      <c r="D94" s="146"/>
      <c r="E94" s="146"/>
      <c r="F94" s="19" t="s">
        <v>79</v>
      </c>
      <c r="G94" s="197" t="s">
        <v>385</v>
      </c>
      <c r="H94" s="140" t="s">
        <v>652</v>
      </c>
      <c r="I94" s="178"/>
      <c r="J94" s="176" t="b">
        <f>EXACT(G94,'Vh5205_C-89'!G94)</f>
        <v>1</v>
      </c>
    </row>
    <row r="95" spans="1:10" s="7" customFormat="1" x14ac:dyDescent="0.35">
      <c r="A95" s="90">
        <v>92</v>
      </c>
      <c r="B95" s="146" t="s">
        <v>698</v>
      </c>
      <c r="C95" s="146" t="s">
        <v>426</v>
      </c>
      <c r="D95" s="146"/>
      <c r="E95" s="146"/>
      <c r="F95" s="19" t="s">
        <v>79</v>
      </c>
      <c r="G95" s="205" t="s">
        <v>391</v>
      </c>
      <c r="H95" s="140" t="s">
        <v>652</v>
      </c>
      <c r="I95" s="178"/>
      <c r="J95" s="176" t="b">
        <f>EXACT(G95,'Vh5205_C-89'!G95)</f>
        <v>1</v>
      </c>
    </row>
    <row r="96" spans="1:10" s="7" customFormat="1" x14ac:dyDescent="0.35">
      <c r="A96" s="90">
        <v>93</v>
      </c>
      <c r="B96" s="146" t="s">
        <v>698</v>
      </c>
      <c r="C96" s="146" t="s">
        <v>386</v>
      </c>
      <c r="D96" s="146"/>
      <c r="E96" s="146"/>
      <c r="F96" s="19" t="s">
        <v>26</v>
      </c>
      <c r="G96" s="198" t="s">
        <v>387</v>
      </c>
      <c r="H96" s="140" t="s">
        <v>652</v>
      </c>
      <c r="I96" s="178"/>
      <c r="J96" s="176" t="b">
        <f>EXACT(G96,'Vh5205_C-89'!G96)</f>
        <v>1</v>
      </c>
    </row>
    <row r="97" spans="1:10" s="7" customFormat="1" x14ac:dyDescent="0.35">
      <c r="A97" s="90">
        <v>94</v>
      </c>
      <c r="B97" s="146" t="s">
        <v>698</v>
      </c>
      <c r="C97" s="146" t="s">
        <v>105</v>
      </c>
      <c r="D97" s="146"/>
      <c r="E97" s="146"/>
      <c r="F97" s="19" t="s">
        <v>26</v>
      </c>
      <c r="G97" s="161" t="s">
        <v>656</v>
      </c>
      <c r="H97" s="140" t="s">
        <v>652</v>
      </c>
      <c r="I97" s="178"/>
      <c r="J97" s="176" t="b">
        <f>EXACT(G97,'Vh5205_C-89'!G97)</f>
        <v>1</v>
      </c>
    </row>
    <row r="98" spans="1:10" s="7" customFormat="1" x14ac:dyDescent="0.35">
      <c r="A98" s="90">
        <v>95</v>
      </c>
      <c r="B98" s="87" t="s">
        <v>698</v>
      </c>
      <c r="C98" s="87" t="s">
        <v>160</v>
      </c>
      <c r="D98" s="87"/>
      <c r="E98" s="87"/>
      <c r="F98" s="22" t="s">
        <v>79</v>
      </c>
      <c r="G98" s="194" t="s">
        <v>196</v>
      </c>
      <c r="H98" s="182" t="s">
        <v>652</v>
      </c>
      <c r="I98" s="178"/>
      <c r="J98" s="176" t="b">
        <f>EXACT(G98,'Vh5205_C-89'!G98)</f>
        <v>1</v>
      </c>
    </row>
    <row r="99" spans="1:10" x14ac:dyDescent="0.35">
      <c r="A99" s="90">
        <v>96</v>
      </c>
      <c r="B99" s="10" t="s">
        <v>699</v>
      </c>
      <c r="C99" s="10" t="s">
        <v>428</v>
      </c>
      <c r="D99" s="146"/>
      <c r="E99" s="146"/>
      <c r="F99" s="20" t="s">
        <v>26</v>
      </c>
      <c r="G99" s="206" t="s">
        <v>196</v>
      </c>
      <c r="H99" s="140" t="s">
        <v>652</v>
      </c>
      <c r="I99" s="2"/>
      <c r="J99" s="176" t="b">
        <f>EXACT(G99,'Vh5205_C-89'!G99)</f>
        <v>1</v>
      </c>
    </row>
    <row r="100" spans="1:10" x14ac:dyDescent="0.35">
      <c r="A100" s="90">
        <v>97</v>
      </c>
      <c r="B100" s="104" t="s">
        <v>699</v>
      </c>
      <c r="C100" s="104" t="s">
        <v>161</v>
      </c>
      <c r="D100" s="104"/>
      <c r="E100" s="104"/>
      <c r="F100" s="20" t="s">
        <v>79</v>
      </c>
      <c r="G100" s="192"/>
      <c r="H100" s="140"/>
      <c r="I100" s="2"/>
      <c r="J100" s="1" t="b">
        <f>EXACT(G100,'Vh5205_C-89'!G100)</f>
        <v>1</v>
      </c>
    </row>
    <row r="101" spans="1:10" x14ac:dyDescent="0.35">
      <c r="A101" s="90">
        <v>98</v>
      </c>
      <c r="B101" s="104" t="s">
        <v>699</v>
      </c>
      <c r="C101" s="104" t="s">
        <v>272</v>
      </c>
      <c r="D101" s="104"/>
      <c r="E101" s="104"/>
      <c r="F101" s="20" t="s">
        <v>26</v>
      </c>
      <c r="G101" s="207">
        <v>44778</v>
      </c>
      <c r="H101" s="140" t="s">
        <v>652</v>
      </c>
      <c r="I101" s="2"/>
      <c r="J101" s="176" t="b">
        <f>EXACT(G101,'Vh5205_C-89'!G101)</f>
        <v>1</v>
      </c>
    </row>
    <row r="102" spans="1:10" x14ac:dyDescent="0.35">
      <c r="A102" s="90">
        <v>99</v>
      </c>
      <c r="B102" s="104" t="s">
        <v>699</v>
      </c>
      <c r="C102" s="104" t="s">
        <v>271</v>
      </c>
      <c r="D102" s="104"/>
      <c r="E102" s="104"/>
      <c r="F102" s="20" t="s">
        <v>26</v>
      </c>
      <c r="G102" s="161" t="s">
        <v>503</v>
      </c>
      <c r="H102" s="140" t="s">
        <v>652</v>
      </c>
      <c r="I102" s="2"/>
      <c r="J102" s="176" t="b">
        <f>EXACT(G102,'Vh5205_C-89'!G102)</f>
        <v>1</v>
      </c>
    </row>
    <row r="103" spans="1:10" x14ac:dyDescent="0.35">
      <c r="A103" s="90">
        <v>100</v>
      </c>
      <c r="B103" s="10" t="s">
        <v>699</v>
      </c>
      <c r="C103" s="10" t="s">
        <v>120</v>
      </c>
      <c r="D103" s="146"/>
      <c r="E103" s="146"/>
      <c r="F103" s="20" t="s">
        <v>26</v>
      </c>
      <c r="G103" s="192" t="s">
        <v>270</v>
      </c>
      <c r="H103" s="140" t="s">
        <v>652</v>
      </c>
      <c r="I103" s="2"/>
      <c r="J103" s="176" t="b">
        <f>EXACT(G103,'Vh5205_C-89'!G103)</f>
        <v>1</v>
      </c>
    </row>
    <row r="104" spans="1:10" x14ac:dyDescent="0.35">
      <c r="A104" s="90">
        <v>101</v>
      </c>
      <c r="B104" s="10" t="s">
        <v>699</v>
      </c>
      <c r="C104" s="10" t="s">
        <v>119</v>
      </c>
      <c r="D104" s="146"/>
      <c r="E104" s="146"/>
      <c r="F104" s="20" t="s">
        <v>26</v>
      </c>
      <c r="G104" s="161">
        <v>1</v>
      </c>
      <c r="H104" s="140" t="s">
        <v>652</v>
      </c>
      <c r="I104" s="2"/>
      <c r="J104" s="176" t="b">
        <f>EXACT(G104,'Vh5205_C-89'!G104)</f>
        <v>1</v>
      </c>
    </row>
    <row r="105" spans="1:10" x14ac:dyDescent="0.35">
      <c r="A105" s="90">
        <v>102</v>
      </c>
      <c r="B105" s="10" t="s">
        <v>699</v>
      </c>
      <c r="C105" s="10" t="s">
        <v>121</v>
      </c>
      <c r="D105" s="146"/>
      <c r="E105" s="146" t="s">
        <v>0</v>
      </c>
      <c r="F105" s="20" t="s">
        <v>26</v>
      </c>
      <c r="G105" s="161" t="s">
        <v>487</v>
      </c>
      <c r="H105" s="140" t="s">
        <v>652</v>
      </c>
      <c r="I105" s="2"/>
      <c r="J105" s="176" t="b">
        <f>EXACT(G105,'Vh5205_C-89'!G105)</f>
        <v>1</v>
      </c>
    </row>
    <row r="106" spans="1:10" x14ac:dyDescent="0.35">
      <c r="A106" s="90">
        <v>103</v>
      </c>
      <c r="B106" s="13" t="s">
        <v>699</v>
      </c>
      <c r="C106" s="13" t="s">
        <v>430</v>
      </c>
      <c r="D106" s="87"/>
      <c r="E106" s="87"/>
      <c r="F106" s="22" t="s">
        <v>26</v>
      </c>
      <c r="G106" s="194" t="s">
        <v>196</v>
      </c>
      <c r="H106" s="182" t="s">
        <v>652</v>
      </c>
      <c r="I106" s="2"/>
      <c r="J106" s="176" t="b">
        <f>EXACT(G106,'Vh5205_C-89'!G106)</f>
        <v>1</v>
      </c>
    </row>
    <row r="107" spans="1:10" x14ac:dyDescent="0.35">
      <c r="A107" s="90">
        <v>104</v>
      </c>
      <c r="B107" s="10" t="s">
        <v>700</v>
      </c>
      <c r="C107" s="10" t="s">
        <v>458</v>
      </c>
      <c r="D107" s="146"/>
      <c r="E107" s="146"/>
      <c r="F107" s="20" t="s">
        <v>26</v>
      </c>
      <c r="G107" s="197" t="s">
        <v>196</v>
      </c>
      <c r="H107" s="140" t="s">
        <v>652</v>
      </c>
      <c r="I107" s="2"/>
      <c r="J107" s="176" t="b">
        <f>EXACT(G107,'Vh5205_C-89'!G107)</f>
        <v>1</v>
      </c>
    </row>
    <row r="108" spans="1:10" ht="31" x14ac:dyDescent="0.35">
      <c r="A108" s="90">
        <v>105</v>
      </c>
      <c r="B108" s="104" t="s">
        <v>700</v>
      </c>
      <c r="C108" s="104" t="s">
        <v>459</v>
      </c>
      <c r="D108" s="104"/>
      <c r="E108" s="104"/>
      <c r="F108" s="20" t="s">
        <v>26</v>
      </c>
      <c r="G108" s="161" t="s">
        <v>609</v>
      </c>
      <c r="H108" s="140" t="s">
        <v>652</v>
      </c>
      <c r="I108" s="2"/>
      <c r="J108" s="176" t="b">
        <f>EXACT(G108,'Vh5205_C-89'!G108)</f>
        <v>1</v>
      </c>
    </row>
    <row r="109" spans="1:10" x14ac:dyDescent="0.35">
      <c r="A109" s="90">
        <v>106</v>
      </c>
      <c r="B109" s="104" t="s">
        <v>700</v>
      </c>
      <c r="C109" s="104" t="s">
        <v>161</v>
      </c>
      <c r="D109" s="104"/>
      <c r="E109" s="104"/>
      <c r="F109" s="20" t="s">
        <v>79</v>
      </c>
      <c r="G109" s="161" t="s">
        <v>539</v>
      </c>
      <c r="H109" s="140" t="s">
        <v>652</v>
      </c>
      <c r="I109" s="2"/>
      <c r="J109" s="176" t="b">
        <f>EXACT(G109,'Vh5205_C-89'!G109)</f>
        <v>1</v>
      </c>
    </row>
    <row r="110" spans="1:10" x14ac:dyDescent="0.35">
      <c r="A110" s="90">
        <v>107</v>
      </c>
      <c r="B110" s="104" t="s">
        <v>700</v>
      </c>
      <c r="C110" s="104" t="s">
        <v>272</v>
      </c>
      <c r="D110" s="104"/>
      <c r="E110" s="104"/>
      <c r="F110" s="20" t="s">
        <v>26</v>
      </c>
      <c r="G110" s="207">
        <v>45098</v>
      </c>
      <c r="H110" s="140" t="s">
        <v>652</v>
      </c>
      <c r="I110" s="2"/>
      <c r="J110" s="176" t="b">
        <f>EXACT(G110,'Vh5205_C-89'!G110)</f>
        <v>1</v>
      </c>
    </row>
    <row r="111" spans="1:10" x14ac:dyDescent="0.35">
      <c r="A111" s="90">
        <v>108</v>
      </c>
      <c r="B111" s="104" t="s">
        <v>700</v>
      </c>
      <c r="C111" s="104" t="s">
        <v>271</v>
      </c>
      <c r="D111" s="104"/>
      <c r="E111" s="104"/>
      <c r="F111" s="20" t="s">
        <v>26</v>
      </c>
      <c r="G111" s="192" t="s">
        <v>504</v>
      </c>
      <c r="H111" s="140" t="s">
        <v>652</v>
      </c>
      <c r="I111" s="2"/>
      <c r="J111" s="176" t="b">
        <f>EXACT(G111,'Vh5205_C-89'!G111)</f>
        <v>1</v>
      </c>
    </row>
    <row r="112" spans="1:10" x14ac:dyDescent="0.35">
      <c r="A112" s="90">
        <v>109</v>
      </c>
      <c r="B112" s="10" t="s">
        <v>700</v>
      </c>
      <c r="C112" s="10" t="s">
        <v>120</v>
      </c>
      <c r="D112" s="146"/>
      <c r="E112" s="146"/>
      <c r="F112" s="20" t="s">
        <v>26</v>
      </c>
      <c r="G112" s="192" t="s">
        <v>524</v>
      </c>
      <c r="H112" s="140" t="s">
        <v>652</v>
      </c>
      <c r="I112" s="2"/>
      <c r="J112" s="176" t="b">
        <f>EXACT(G112,'Vh5205_C-89'!G112)</f>
        <v>1</v>
      </c>
    </row>
    <row r="113" spans="1:10" x14ac:dyDescent="0.35">
      <c r="A113" s="90">
        <v>110</v>
      </c>
      <c r="B113" s="10" t="s">
        <v>700</v>
      </c>
      <c r="C113" s="10" t="s">
        <v>119</v>
      </c>
      <c r="D113" s="146"/>
      <c r="E113" s="146"/>
      <c r="F113" s="20" t="s">
        <v>26</v>
      </c>
      <c r="G113" s="192" t="s">
        <v>524</v>
      </c>
      <c r="H113" s="140" t="s">
        <v>652</v>
      </c>
      <c r="I113" s="2"/>
      <c r="J113" s="176" t="b">
        <f>EXACT(G113,'Vh5205_C-89'!G113)</f>
        <v>1</v>
      </c>
    </row>
    <row r="114" spans="1:10" x14ac:dyDescent="0.35">
      <c r="A114" s="90">
        <v>111</v>
      </c>
      <c r="B114" s="13" t="s">
        <v>700</v>
      </c>
      <c r="C114" s="13" t="s">
        <v>121</v>
      </c>
      <c r="D114" s="87"/>
      <c r="E114" s="87" t="s">
        <v>0</v>
      </c>
      <c r="F114" s="21" t="s">
        <v>26</v>
      </c>
      <c r="G114" s="194" t="s">
        <v>505</v>
      </c>
      <c r="H114" s="182" t="s">
        <v>652</v>
      </c>
      <c r="I114" s="2"/>
      <c r="J114" s="176" t="b">
        <f>EXACT(G114,'Vh5205_C-89'!G114)</f>
        <v>1</v>
      </c>
    </row>
    <row r="115" spans="1:10" x14ac:dyDescent="0.35">
      <c r="A115" s="90">
        <v>112</v>
      </c>
      <c r="B115" s="102" t="s">
        <v>701</v>
      </c>
      <c r="C115" s="102" t="s">
        <v>308</v>
      </c>
      <c r="D115" s="146"/>
      <c r="E115" s="146"/>
      <c r="F115" s="39" t="s">
        <v>26</v>
      </c>
      <c r="G115" s="197" t="s">
        <v>347</v>
      </c>
      <c r="H115" s="140" t="s">
        <v>652</v>
      </c>
      <c r="I115" s="2"/>
      <c r="J115" s="176" t="b">
        <f>EXACT(G115,'Vh5205_C-89'!G115)</f>
        <v>1</v>
      </c>
    </row>
    <row r="116" spans="1:10" s="7" customFormat="1" x14ac:dyDescent="0.35">
      <c r="A116" s="90">
        <v>113</v>
      </c>
      <c r="B116" s="13" t="s">
        <v>701</v>
      </c>
      <c r="C116" s="13" t="s">
        <v>163</v>
      </c>
      <c r="D116" s="87"/>
      <c r="E116" s="87"/>
      <c r="F116" s="22" t="s">
        <v>26</v>
      </c>
      <c r="G116" s="194" t="s">
        <v>196</v>
      </c>
      <c r="H116" s="182" t="s">
        <v>652</v>
      </c>
      <c r="I116" s="178"/>
      <c r="J116" s="176" t="b">
        <f>EXACT(G116,'Vh5205_C-89'!G116)</f>
        <v>1</v>
      </c>
    </row>
    <row r="117" spans="1:10" s="7" customFormat="1" x14ac:dyDescent="0.35">
      <c r="A117" s="90">
        <v>114</v>
      </c>
      <c r="B117" s="102" t="s">
        <v>702</v>
      </c>
      <c r="C117" s="102" t="s">
        <v>164</v>
      </c>
      <c r="D117" s="100"/>
      <c r="E117" s="100"/>
      <c r="F117" s="18" t="s">
        <v>26</v>
      </c>
      <c r="G117" s="206" t="s">
        <v>196</v>
      </c>
      <c r="H117" s="140" t="s">
        <v>652</v>
      </c>
      <c r="I117" s="178"/>
      <c r="J117" s="176" t="b">
        <f>EXACT(G117,'Vh5205_C-89'!G117)</f>
        <v>1</v>
      </c>
    </row>
    <row r="118" spans="1:10" s="7" customFormat="1" x14ac:dyDescent="0.35">
      <c r="A118" s="90">
        <v>115</v>
      </c>
      <c r="B118" s="13" t="s">
        <v>702</v>
      </c>
      <c r="C118" s="13" t="s">
        <v>191</v>
      </c>
      <c r="D118" s="87"/>
      <c r="E118" s="87"/>
      <c r="F118" s="22" t="s">
        <v>79</v>
      </c>
      <c r="G118" s="194" t="s">
        <v>196</v>
      </c>
      <c r="H118" s="182" t="s">
        <v>652</v>
      </c>
      <c r="I118" s="178"/>
      <c r="J118" s="176" t="b">
        <f>EXACT(G118,'Vh5205_C-89'!G118)</f>
        <v>1</v>
      </c>
    </row>
    <row r="119" spans="1:10" s="7" customFormat="1" x14ac:dyDescent="0.35">
      <c r="A119" s="90">
        <v>116</v>
      </c>
      <c r="B119" s="146" t="s">
        <v>703</v>
      </c>
      <c r="C119" s="146" t="s">
        <v>106</v>
      </c>
      <c r="D119" s="146"/>
      <c r="E119" s="146"/>
      <c r="F119" s="19" t="s">
        <v>26</v>
      </c>
      <c r="G119" s="197" t="s">
        <v>488</v>
      </c>
      <c r="H119" s="140" t="s">
        <v>652</v>
      </c>
      <c r="I119" s="178"/>
      <c r="J119" s="176" t="b">
        <f>EXACT(G119,'Vh5205_C-89'!G119)</f>
        <v>1</v>
      </c>
    </row>
    <row r="120" spans="1:10" x14ac:dyDescent="0.35">
      <c r="A120" s="90">
        <v>117</v>
      </c>
      <c r="B120" s="146" t="s">
        <v>703</v>
      </c>
      <c r="C120" s="146" t="s">
        <v>434</v>
      </c>
      <c r="D120" s="5"/>
      <c r="E120" s="5"/>
      <c r="F120" s="19" t="s">
        <v>26</v>
      </c>
      <c r="G120" s="161" t="s">
        <v>506</v>
      </c>
      <c r="H120" s="140" t="s">
        <v>652</v>
      </c>
      <c r="I120" s="2"/>
      <c r="J120" s="176" t="b">
        <f>EXACT(G120,'Vh5205_C-89'!G120)</f>
        <v>1</v>
      </c>
    </row>
    <row r="121" spans="1:10" ht="31" x14ac:dyDescent="0.35">
      <c r="A121" s="90">
        <v>118</v>
      </c>
      <c r="B121" s="87" t="s">
        <v>703</v>
      </c>
      <c r="C121" s="87" t="s">
        <v>350</v>
      </c>
      <c r="D121" s="93"/>
      <c r="E121" s="93"/>
      <c r="F121" s="22" t="s">
        <v>26</v>
      </c>
      <c r="G121" s="194" t="s">
        <v>196</v>
      </c>
      <c r="H121" s="182" t="s">
        <v>652</v>
      </c>
      <c r="I121" s="2"/>
      <c r="J121" s="176" t="b">
        <f>EXACT(G121,'Vh5205_C-89'!G121)</f>
        <v>1</v>
      </c>
    </row>
    <row r="122" spans="1:10" x14ac:dyDescent="0.35">
      <c r="A122" s="90">
        <v>119</v>
      </c>
      <c r="B122" s="5" t="s">
        <v>704</v>
      </c>
      <c r="C122" s="5" t="s">
        <v>135</v>
      </c>
      <c r="D122" s="5"/>
      <c r="E122" s="5"/>
      <c r="F122" s="19" t="s">
        <v>26</v>
      </c>
      <c r="G122" s="206" t="s">
        <v>269</v>
      </c>
      <c r="H122" s="140" t="s">
        <v>652</v>
      </c>
      <c r="I122" s="2"/>
      <c r="J122" s="176" t="b">
        <f>EXACT(G122,'Vh5205_C-89'!G122)</f>
        <v>1</v>
      </c>
    </row>
    <row r="123" spans="1:10" s="7" customFormat="1" ht="46.5" x14ac:dyDescent="0.35">
      <c r="A123" s="90">
        <v>120</v>
      </c>
      <c r="B123" s="146" t="s">
        <v>704</v>
      </c>
      <c r="C123" s="146" t="s">
        <v>316</v>
      </c>
      <c r="D123" s="146"/>
      <c r="E123" s="146"/>
      <c r="F123" s="19" t="s">
        <v>79</v>
      </c>
      <c r="G123" s="161" t="s">
        <v>529</v>
      </c>
      <c r="H123" s="177"/>
      <c r="I123" s="178"/>
      <c r="J123" s="1" t="b">
        <f>EXACT(G123,'Vh5205_C-89'!G123)</f>
        <v>0</v>
      </c>
    </row>
    <row r="124" spans="1:10" x14ac:dyDescent="0.35">
      <c r="A124" s="90">
        <v>121</v>
      </c>
      <c r="B124" s="5" t="s">
        <v>704</v>
      </c>
      <c r="C124" s="5" t="s">
        <v>354</v>
      </c>
      <c r="D124" s="5"/>
      <c r="E124" s="5"/>
      <c r="F124" s="19" t="s">
        <v>26</v>
      </c>
      <c r="G124" s="161" t="s">
        <v>205</v>
      </c>
      <c r="H124" s="164" t="s">
        <v>652</v>
      </c>
      <c r="I124" s="2"/>
      <c r="J124" s="176" t="b">
        <f>EXACT(G124,'Vh5205_C-89'!G124)</f>
        <v>1</v>
      </c>
    </row>
    <row r="125" spans="1:10" x14ac:dyDescent="0.35">
      <c r="A125" s="90">
        <v>122</v>
      </c>
      <c r="B125" s="5" t="s">
        <v>704</v>
      </c>
      <c r="C125" s="5" t="s">
        <v>139</v>
      </c>
      <c r="D125" s="5"/>
      <c r="E125" s="5" t="s">
        <v>2</v>
      </c>
      <c r="F125" s="19" t="s">
        <v>79</v>
      </c>
      <c r="G125" s="192" t="s">
        <v>489</v>
      </c>
      <c r="H125" s="164" t="s">
        <v>652</v>
      </c>
      <c r="I125" s="2"/>
      <c r="J125" s="176" t="b">
        <f>EXACT(G125,'Vh5205_C-89'!G125)</f>
        <v>1</v>
      </c>
    </row>
    <row r="126" spans="1:10" x14ac:dyDescent="0.35">
      <c r="A126" s="90">
        <v>123</v>
      </c>
      <c r="B126" s="5" t="s">
        <v>704</v>
      </c>
      <c r="C126" s="5" t="s">
        <v>140</v>
      </c>
      <c r="D126" s="5"/>
      <c r="E126" s="5"/>
      <c r="F126" s="19" t="s">
        <v>79</v>
      </c>
      <c r="G126" s="192" t="s">
        <v>538</v>
      </c>
      <c r="H126" s="164" t="s">
        <v>652</v>
      </c>
      <c r="I126" s="2"/>
      <c r="J126" s="176" t="b">
        <f>EXACT(G126,'Vh5205_C-89'!G126)</f>
        <v>1</v>
      </c>
    </row>
    <row r="127" spans="1:10" s="7" customFormat="1" x14ac:dyDescent="0.35">
      <c r="A127" s="90">
        <v>124</v>
      </c>
      <c r="B127" s="10" t="s">
        <v>704</v>
      </c>
      <c r="C127" s="10" t="s">
        <v>122</v>
      </c>
      <c r="D127" s="146"/>
      <c r="E127" s="146"/>
      <c r="F127" s="20" t="s">
        <v>26</v>
      </c>
      <c r="G127" s="161" t="s">
        <v>196</v>
      </c>
      <c r="H127" s="164" t="s">
        <v>652</v>
      </c>
      <c r="I127" s="178"/>
      <c r="J127" s="176" t="b">
        <f>EXACT(G127,'Vh5205_C-89'!G127)</f>
        <v>1</v>
      </c>
    </row>
    <row r="128" spans="1:10" x14ac:dyDescent="0.35">
      <c r="A128" s="90">
        <v>125</v>
      </c>
      <c r="B128" s="5" t="s">
        <v>704</v>
      </c>
      <c r="C128" s="5" t="s">
        <v>137</v>
      </c>
      <c r="D128" s="5"/>
      <c r="E128" s="5"/>
      <c r="F128" s="19" t="s">
        <v>26</v>
      </c>
      <c r="G128" s="192" t="s">
        <v>359</v>
      </c>
      <c r="H128" s="164" t="s">
        <v>652</v>
      </c>
      <c r="I128" s="2"/>
      <c r="J128" s="176" t="b">
        <f>EXACT(G128,'Vh5205_C-89'!G128)</f>
        <v>1</v>
      </c>
    </row>
    <row r="129" spans="1:10" s="7" customFormat="1" x14ac:dyDescent="0.35">
      <c r="A129" s="90">
        <v>126</v>
      </c>
      <c r="B129" s="146" t="s">
        <v>704</v>
      </c>
      <c r="C129" s="146" t="s">
        <v>120</v>
      </c>
      <c r="D129" s="146"/>
      <c r="E129" s="146"/>
      <c r="F129" s="20" t="s">
        <v>26</v>
      </c>
      <c r="G129" s="161" t="s">
        <v>490</v>
      </c>
      <c r="H129" s="164" t="s">
        <v>652</v>
      </c>
      <c r="I129" s="178"/>
      <c r="J129" s="176" t="b">
        <f>EXACT(G129,'Vh5205_C-89'!G129)</f>
        <v>1</v>
      </c>
    </row>
    <row r="130" spans="1:10" s="7" customFormat="1" x14ac:dyDescent="0.35">
      <c r="A130" s="90">
        <v>127</v>
      </c>
      <c r="B130" s="104" t="s">
        <v>704</v>
      </c>
      <c r="C130" s="104" t="s">
        <v>161</v>
      </c>
      <c r="D130" s="146"/>
      <c r="E130" s="146"/>
      <c r="F130" s="20" t="s">
        <v>79</v>
      </c>
      <c r="G130" s="161" t="s">
        <v>539</v>
      </c>
      <c r="H130" s="164" t="s">
        <v>652</v>
      </c>
      <c r="I130" s="178"/>
      <c r="J130" s="176" t="b">
        <f>EXACT(G130,'Vh5205_C-89'!G130)</f>
        <v>1</v>
      </c>
    </row>
    <row r="131" spans="1:10" s="7" customFormat="1" ht="31" x14ac:dyDescent="0.35">
      <c r="A131" s="90">
        <v>128</v>
      </c>
      <c r="B131" s="104" t="s">
        <v>704</v>
      </c>
      <c r="C131" s="104" t="s">
        <v>358</v>
      </c>
      <c r="D131" s="146"/>
      <c r="E131" s="146"/>
      <c r="F131" s="20" t="s">
        <v>26</v>
      </c>
      <c r="G131" s="195" t="s">
        <v>530</v>
      </c>
      <c r="H131" s="177"/>
      <c r="I131" s="178"/>
      <c r="J131" s="1" t="b">
        <f>EXACT(G131,'Vh5205_C-89'!G131)</f>
        <v>0</v>
      </c>
    </row>
    <row r="132" spans="1:10" s="7" customFormat="1" x14ac:dyDescent="0.35">
      <c r="A132" s="90">
        <v>129</v>
      </c>
      <c r="B132" s="104" t="s">
        <v>704</v>
      </c>
      <c r="C132" s="104" t="s">
        <v>271</v>
      </c>
      <c r="D132" s="146"/>
      <c r="E132" s="146"/>
      <c r="F132" s="20" t="s">
        <v>26</v>
      </c>
      <c r="G132" s="161" t="s">
        <v>504</v>
      </c>
      <c r="H132" s="177" t="s">
        <v>652</v>
      </c>
      <c r="I132" s="178"/>
      <c r="J132" s="176" t="b">
        <f>EXACT(G132,'Vh5205_C-89'!G132)</f>
        <v>1</v>
      </c>
    </row>
    <row r="133" spans="1:10" ht="46.5" x14ac:dyDescent="0.35">
      <c r="A133" s="90">
        <v>130</v>
      </c>
      <c r="B133" s="91" t="s">
        <v>704</v>
      </c>
      <c r="C133" s="91" t="s">
        <v>315</v>
      </c>
      <c r="D133" s="5"/>
      <c r="E133" s="5" t="s">
        <v>85</v>
      </c>
      <c r="F133" s="19" t="s">
        <v>79</v>
      </c>
      <c r="G133" s="198" t="s">
        <v>525</v>
      </c>
      <c r="H133" s="177" t="s">
        <v>652</v>
      </c>
      <c r="I133" s="2"/>
      <c r="J133" s="176" t="b">
        <f>EXACT(G133,'Vh5205_C-89'!G133)</f>
        <v>1</v>
      </c>
    </row>
    <row r="134" spans="1:10" s="7" customFormat="1" x14ac:dyDescent="0.35">
      <c r="A134" s="90">
        <v>131</v>
      </c>
      <c r="B134" s="146" t="s">
        <v>704</v>
      </c>
      <c r="C134" s="146" t="s">
        <v>121</v>
      </c>
      <c r="D134" s="146"/>
      <c r="E134" s="146" t="s">
        <v>85</v>
      </c>
      <c r="F134" s="20" t="s">
        <v>26</v>
      </c>
      <c r="G134" s="161" t="s">
        <v>491</v>
      </c>
      <c r="H134" s="177" t="s">
        <v>652</v>
      </c>
      <c r="I134" s="178"/>
      <c r="J134" s="176" t="b">
        <f>EXACT(G134,'Vh5205_C-89'!G134)</f>
        <v>1</v>
      </c>
    </row>
    <row r="135" spans="1:10" x14ac:dyDescent="0.35">
      <c r="A135" s="90">
        <v>132</v>
      </c>
      <c r="B135" s="5" t="s">
        <v>704</v>
      </c>
      <c r="C135" s="5" t="s">
        <v>165</v>
      </c>
      <c r="D135" s="5"/>
      <c r="E135" s="5"/>
      <c r="F135" s="19" t="s">
        <v>26</v>
      </c>
      <c r="G135" s="192" t="s">
        <v>540</v>
      </c>
      <c r="H135" s="177" t="s">
        <v>652</v>
      </c>
      <c r="I135" s="2"/>
      <c r="J135" s="176" t="b">
        <f>EXACT(G135,'Vh5205_C-89'!G135)</f>
        <v>1</v>
      </c>
    </row>
    <row r="136" spans="1:10" x14ac:dyDescent="0.35">
      <c r="A136" s="90">
        <v>133</v>
      </c>
      <c r="B136" s="5" t="s">
        <v>704</v>
      </c>
      <c r="C136" s="5" t="s">
        <v>166</v>
      </c>
      <c r="D136" s="5"/>
      <c r="E136" s="5"/>
      <c r="F136" s="19" t="s">
        <v>26</v>
      </c>
      <c r="G136" s="161">
        <v>3</v>
      </c>
      <c r="H136" s="177" t="s">
        <v>652</v>
      </c>
      <c r="I136" s="2"/>
      <c r="J136" s="176" t="b">
        <f>EXACT(G136,'Vh5205_C-89'!G136)</f>
        <v>1</v>
      </c>
    </row>
    <row r="137" spans="1:10" x14ac:dyDescent="0.35">
      <c r="A137" s="90">
        <v>134</v>
      </c>
      <c r="B137" s="5" t="s">
        <v>704</v>
      </c>
      <c r="C137" s="5" t="s">
        <v>141</v>
      </c>
      <c r="D137" s="5"/>
      <c r="E137" s="5"/>
      <c r="F137" s="19" t="s">
        <v>26</v>
      </c>
      <c r="G137" s="161" t="s">
        <v>522</v>
      </c>
      <c r="H137" s="177" t="s">
        <v>652</v>
      </c>
      <c r="I137" s="2"/>
      <c r="J137" s="176" t="b">
        <f>EXACT(G137,'Vh5205_C-89'!G137)</f>
        <v>1</v>
      </c>
    </row>
    <row r="138" spans="1:10" s="7" customFormat="1" x14ac:dyDescent="0.35">
      <c r="A138" s="90"/>
      <c r="B138" s="114" t="s">
        <v>704</v>
      </c>
      <c r="C138" s="114"/>
      <c r="D138" s="87"/>
      <c r="E138" s="87"/>
      <c r="F138" s="21"/>
      <c r="G138" s="196"/>
      <c r="H138" s="180"/>
      <c r="I138" s="178"/>
      <c r="J138" s="1" t="b">
        <f>EXACT(G138,'Vh5205_C-89'!G138)</f>
        <v>1</v>
      </c>
    </row>
    <row r="139" spans="1:10" s="7" customFormat="1" x14ac:dyDescent="0.35">
      <c r="A139" s="90">
        <v>135</v>
      </c>
      <c r="B139" s="10" t="s">
        <v>705</v>
      </c>
      <c r="C139" s="10" t="s">
        <v>142</v>
      </c>
      <c r="D139" s="146"/>
      <c r="E139" s="146"/>
      <c r="F139" s="20" t="s">
        <v>26</v>
      </c>
      <c r="G139" s="192" t="s">
        <v>196</v>
      </c>
      <c r="H139" s="177" t="s">
        <v>652</v>
      </c>
      <c r="I139" s="178"/>
      <c r="J139" s="176" t="b">
        <f>EXACT(G139,'Vh5205_C-89'!G139)</f>
        <v>1</v>
      </c>
    </row>
    <row r="140" spans="1:10" x14ac:dyDescent="0.35">
      <c r="A140" s="90">
        <v>136</v>
      </c>
      <c r="B140" s="5" t="s">
        <v>705</v>
      </c>
      <c r="C140" s="5" t="s">
        <v>138</v>
      </c>
      <c r="D140" s="5"/>
      <c r="E140" s="5"/>
      <c r="F140" s="19" t="s">
        <v>79</v>
      </c>
      <c r="G140" s="161" t="s">
        <v>526</v>
      </c>
      <c r="H140" s="177" t="s">
        <v>652</v>
      </c>
      <c r="I140" s="2"/>
      <c r="J140" s="176" t="b">
        <f>EXACT(G140,'Vh5205_C-89'!G140)</f>
        <v>1</v>
      </c>
    </row>
    <row r="141" spans="1:10" x14ac:dyDescent="0.35">
      <c r="A141" s="90">
        <v>137</v>
      </c>
      <c r="B141" s="104" t="s">
        <v>705</v>
      </c>
      <c r="C141" s="104" t="s">
        <v>161</v>
      </c>
      <c r="D141" s="104"/>
      <c r="E141" s="104"/>
      <c r="F141" s="19" t="s">
        <v>79</v>
      </c>
      <c r="G141" s="161" t="s">
        <v>539</v>
      </c>
      <c r="H141" s="177" t="s">
        <v>652</v>
      </c>
      <c r="I141" s="2"/>
      <c r="J141" s="176" t="b">
        <f>EXACT(G141,'Vh5205_C-89'!G141)</f>
        <v>1</v>
      </c>
    </row>
    <row r="142" spans="1:10" x14ac:dyDescent="0.35">
      <c r="A142" s="90">
        <v>138</v>
      </c>
      <c r="B142" s="104" t="s">
        <v>705</v>
      </c>
      <c r="C142" s="104" t="s">
        <v>358</v>
      </c>
      <c r="D142" s="104"/>
      <c r="E142" s="104"/>
      <c r="F142" s="20" t="s">
        <v>26</v>
      </c>
      <c r="G142" s="195">
        <v>45155</v>
      </c>
      <c r="H142" s="140"/>
      <c r="I142" s="2"/>
      <c r="J142" s="1" t="b">
        <f>EXACT(G142,'Vh5205_C-89'!G142)</f>
        <v>0</v>
      </c>
    </row>
    <row r="143" spans="1:10" x14ac:dyDescent="0.35">
      <c r="A143" s="90">
        <v>139</v>
      </c>
      <c r="B143" s="104" t="s">
        <v>705</v>
      </c>
      <c r="C143" s="104" t="s">
        <v>271</v>
      </c>
      <c r="D143" s="104"/>
      <c r="E143" s="104"/>
      <c r="F143" s="20" t="s">
        <v>26</v>
      </c>
      <c r="G143" s="161" t="s">
        <v>492</v>
      </c>
      <c r="H143" s="177" t="s">
        <v>652</v>
      </c>
      <c r="I143" s="2"/>
      <c r="J143" s="176" t="b">
        <f>EXACT(G143,'Vh5205_C-89'!G143)</f>
        <v>1</v>
      </c>
    </row>
    <row r="144" spans="1:10" x14ac:dyDescent="0.35">
      <c r="A144" s="90">
        <v>140</v>
      </c>
      <c r="B144" s="5" t="s">
        <v>705</v>
      </c>
      <c r="C144" s="5" t="s">
        <v>137</v>
      </c>
      <c r="D144" s="5"/>
      <c r="E144" s="5"/>
      <c r="F144" s="19" t="s">
        <v>26</v>
      </c>
      <c r="G144" s="161" t="s">
        <v>493</v>
      </c>
      <c r="H144" s="177" t="s">
        <v>652</v>
      </c>
      <c r="I144" s="2"/>
      <c r="J144" s="176" t="b">
        <f>EXACT(G144,'Vh5205_C-89'!G144)</f>
        <v>1</v>
      </c>
    </row>
    <row r="145" spans="1:10" x14ac:dyDescent="0.35">
      <c r="A145" s="90">
        <v>141</v>
      </c>
      <c r="B145" s="146" t="s">
        <v>705</v>
      </c>
      <c r="C145" s="146" t="s">
        <v>120</v>
      </c>
      <c r="D145" s="146"/>
      <c r="E145" s="146"/>
      <c r="F145" s="19" t="s">
        <v>26</v>
      </c>
      <c r="G145" s="161" t="s">
        <v>273</v>
      </c>
      <c r="H145" s="177" t="s">
        <v>652</v>
      </c>
      <c r="I145" s="2"/>
      <c r="J145" s="176" t="b">
        <f>EXACT(G145,'Vh5205_C-89'!G145)</f>
        <v>1</v>
      </c>
    </row>
    <row r="146" spans="1:10" x14ac:dyDescent="0.35">
      <c r="A146" s="90">
        <v>142</v>
      </c>
      <c r="B146" s="91" t="s">
        <v>705</v>
      </c>
      <c r="C146" s="91" t="s">
        <v>315</v>
      </c>
      <c r="D146" s="5"/>
      <c r="E146" s="5" t="s">
        <v>85</v>
      </c>
      <c r="F146" s="19" t="s">
        <v>79</v>
      </c>
      <c r="G146" s="198" t="s">
        <v>531</v>
      </c>
      <c r="H146" s="140"/>
      <c r="I146" s="2"/>
      <c r="J146" s="1" t="b">
        <f>EXACT(G146,'Vh5205_C-89'!G146)</f>
        <v>0</v>
      </c>
    </row>
    <row r="147" spans="1:10" x14ac:dyDescent="0.35">
      <c r="A147" s="90">
        <v>143</v>
      </c>
      <c r="B147" s="87" t="s">
        <v>705</v>
      </c>
      <c r="C147" s="87" t="s">
        <v>121</v>
      </c>
      <c r="D147" s="93"/>
      <c r="E147" s="87" t="s">
        <v>85</v>
      </c>
      <c r="F147" s="22" t="s">
        <v>26</v>
      </c>
      <c r="G147" s="196" t="s">
        <v>274</v>
      </c>
      <c r="H147" s="180" t="s">
        <v>652</v>
      </c>
      <c r="I147" s="2"/>
      <c r="J147" s="176" t="b">
        <f>EXACT(G147,'Vh5205_C-89'!G147)</f>
        <v>1</v>
      </c>
    </row>
    <row r="148" spans="1:10" x14ac:dyDescent="0.35">
      <c r="A148" s="90">
        <v>144</v>
      </c>
      <c r="B148" s="111" t="s">
        <v>706</v>
      </c>
      <c r="C148" s="111" t="s">
        <v>287</v>
      </c>
      <c r="D148" s="111"/>
      <c r="E148" s="111"/>
      <c r="F148" s="18" t="s">
        <v>26</v>
      </c>
      <c r="G148" s="197" t="s">
        <v>281</v>
      </c>
      <c r="H148" s="177" t="s">
        <v>652</v>
      </c>
      <c r="I148" s="2"/>
      <c r="J148" s="176" t="b">
        <f>EXACT(G148,'Vh5205_C-89'!G148)</f>
        <v>1</v>
      </c>
    </row>
    <row r="149" spans="1:10" x14ac:dyDescent="0.35">
      <c r="A149" s="90">
        <v>145</v>
      </c>
      <c r="B149" s="5" t="s">
        <v>706</v>
      </c>
      <c r="C149" s="5" t="s">
        <v>366</v>
      </c>
      <c r="D149" s="5"/>
      <c r="E149" s="5"/>
      <c r="F149" s="19" t="s">
        <v>26</v>
      </c>
      <c r="G149" s="161" t="s">
        <v>288</v>
      </c>
      <c r="H149" s="177" t="s">
        <v>652</v>
      </c>
      <c r="I149" s="2"/>
      <c r="J149" s="176" t="b">
        <f>EXACT(G149,'Vh5205_C-89'!G149)</f>
        <v>1</v>
      </c>
    </row>
    <row r="150" spans="1:10" x14ac:dyDescent="0.35">
      <c r="A150" s="90">
        <v>146</v>
      </c>
      <c r="B150" s="93" t="s">
        <v>706</v>
      </c>
      <c r="C150" s="93" t="s">
        <v>367</v>
      </c>
      <c r="D150" s="93"/>
      <c r="E150" s="93"/>
      <c r="F150" s="22" t="s">
        <v>26</v>
      </c>
      <c r="G150" s="194" t="s">
        <v>524</v>
      </c>
      <c r="H150" s="180" t="s">
        <v>652</v>
      </c>
      <c r="I150" s="2"/>
      <c r="J150" s="176" t="b">
        <f>EXACT(G150,'Vh5205_C-89'!G150)</f>
        <v>1</v>
      </c>
    </row>
    <row r="151" spans="1:10" s="7" customFormat="1" x14ac:dyDescent="0.35">
      <c r="A151" s="90">
        <v>147</v>
      </c>
      <c r="B151" s="100" t="s">
        <v>707</v>
      </c>
      <c r="C151" s="100" t="s">
        <v>169</v>
      </c>
      <c r="D151" s="146"/>
      <c r="E151" s="146"/>
      <c r="F151" s="19" t="s">
        <v>26</v>
      </c>
      <c r="G151" s="206" t="s">
        <v>541</v>
      </c>
      <c r="H151" s="177" t="s">
        <v>652</v>
      </c>
      <c r="I151" s="178"/>
      <c r="J151" s="176" t="b">
        <f>EXACT(G151,'Vh5205_C-89'!G151)</f>
        <v>1</v>
      </c>
    </row>
    <row r="152" spans="1:10" s="7" customFormat="1" x14ac:dyDescent="0.35">
      <c r="A152" s="90">
        <v>148</v>
      </c>
      <c r="B152" s="146" t="s">
        <v>707</v>
      </c>
      <c r="C152" s="146" t="s">
        <v>192</v>
      </c>
      <c r="D152" s="146"/>
      <c r="E152" s="146"/>
      <c r="F152" s="19" t="s">
        <v>26</v>
      </c>
      <c r="G152" s="192" t="s">
        <v>542</v>
      </c>
      <c r="H152" s="177" t="s">
        <v>652</v>
      </c>
      <c r="I152" s="178"/>
      <c r="J152" s="176" t="b">
        <f>EXACT(G152,'Vh5205_C-89'!G152)</f>
        <v>1</v>
      </c>
    </row>
    <row r="153" spans="1:10" s="7" customFormat="1" x14ac:dyDescent="0.35">
      <c r="A153" s="90">
        <v>149</v>
      </c>
      <c r="B153" s="146" t="s">
        <v>707</v>
      </c>
      <c r="C153" s="146" t="s">
        <v>170</v>
      </c>
      <c r="D153" s="146"/>
      <c r="E153" s="146"/>
      <c r="F153" s="19" t="s">
        <v>26</v>
      </c>
      <c r="G153" s="192" t="s">
        <v>275</v>
      </c>
      <c r="H153" s="177" t="s">
        <v>652</v>
      </c>
      <c r="I153" s="178"/>
      <c r="J153" s="176" t="b">
        <f>EXACT(G153,'Vh5205_C-89'!G153)</f>
        <v>1</v>
      </c>
    </row>
    <row r="154" spans="1:10" s="7" customFormat="1" x14ac:dyDescent="0.35">
      <c r="A154" s="90">
        <v>150</v>
      </c>
      <c r="B154" s="146" t="s">
        <v>707</v>
      </c>
      <c r="C154" s="146" t="s">
        <v>280</v>
      </c>
      <c r="D154" s="146"/>
      <c r="E154" s="146"/>
      <c r="F154" s="19" t="s">
        <v>79</v>
      </c>
      <c r="G154" s="161" t="s">
        <v>494</v>
      </c>
      <c r="H154" s="177" t="s">
        <v>652</v>
      </c>
      <c r="I154" s="178"/>
      <c r="J154" s="176" t="b">
        <f>EXACT(G154,'Vh5205_C-89'!G154)</f>
        <v>1</v>
      </c>
    </row>
    <row r="155" spans="1:10" s="7" customFormat="1" x14ac:dyDescent="0.35">
      <c r="A155" s="90">
        <v>151</v>
      </c>
      <c r="B155" s="146" t="s">
        <v>707</v>
      </c>
      <c r="C155" s="146" t="s">
        <v>44</v>
      </c>
      <c r="D155" s="146"/>
      <c r="E155" s="146"/>
      <c r="F155" s="19" t="s">
        <v>79</v>
      </c>
      <c r="G155" s="205" t="s">
        <v>495</v>
      </c>
      <c r="H155" s="177" t="s">
        <v>652</v>
      </c>
      <c r="I155" s="178"/>
      <c r="J155" s="176" t="b">
        <f>EXACT(G155,'Vh5205_C-89'!G155)</f>
        <v>1</v>
      </c>
    </row>
    <row r="156" spans="1:10" s="7" customFormat="1" x14ac:dyDescent="0.35">
      <c r="A156" s="90">
        <v>152</v>
      </c>
      <c r="B156" s="10" t="s">
        <v>707</v>
      </c>
      <c r="C156" s="10" t="s">
        <v>289</v>
      </c>
      <c r="D156" s="146"/>
      <c r="E156" s="146"/>
      <c r="F156" s="20" t="s">
        <v>79</v>
      </c>
      <c r="G156" s="192" t="s">
        <v>524</v>
      </c>
      <c r="H156" s="177" t="s">
        <v>652</v>
      </c>
      <c r="I156" s="178"/>
      <c r="J156" s="176" t="b">
        <f>EXACT(G156,'Vh5205_C-89'!G156)</f>
        <v>1</v>
      </c>
    </row>
    <row r="157" spans="1:10" s="7" customFormat="1" x14ac:dyDescent="0.35">
      <c r="A157" s="90">
        <v>153</v>
      </c>
      <c r="B157" s="146" t="s">
        <v>707</v>
      </c>
      <c r="C157" s="146" t="s">
        <v>279</v>
      </c>
      <c r="D157" s="146"/>
      <c r="E157" s="146"/>
      <c r="F157" s="19" t="s">
        <v>79</v>
      </c>
      <c r="G157" s="192" t="s">
        <v>385</v>
      </c>
      <c r="H157" s="177" t="s">
        <v>652</v>
      </c>
      <c r="I157" s="178"/>
      <c r="J157" s="176" t="b">
        <f>EXACT(G157,'Vh5205_C-89'!G157)</f>
        <v>1</v>
      </c>
    </row>
    <row r="158" spans="1:10" s="7" customFormat="1" x14ac:dyDescent="0.35">
      <c r="A158" s="90">
        <v>154</v>
      </c>
      <c r="B158" s="10" t="s">
        <v>707</v>
      </c>
      <c r="C158" s="10" t="s">
        <v>31</v>
      </c>
      <c r="D158" s="146"/>
      <c r="E158" s="146" t="s">
        <v>194</v>
      </c>
      <c r="F158" s="19" t="s">
        <v>26</v>
      </c>
      <c r="G158" s="199" t="s">
        <v>496</v>
      </c>
      <c r="H158" s="177" t="s">
        <v>652</v>
      </c>
      <c r="I158" s="178"/>
      <c r="J158" s="176" t="b">
        <f>EXACT(G158,'Vh5205_C-89'!G158)</f>
        <v>1</v>
      </c>
    </row>
    <row r="159" spans="1:10" s="7" customFormat="1" x14ac:dyDescent="0.35">
      <c r="A159" s="90">
        <v>155</v>
      </c>
      <c r="B159" s="10" t="s">
        <v>707</v>
      </c>
      <c r="C159" s="10" t="s">
        <v>32</v>
      </c>
      <c r="D159" s="146"/>
      <c r="E159" s="146" t="s">
        <v>586</v>
      </c>
      <c r="F159" s="19" t="s">
        <v>26</v>
      </c>
      <c r="G159" s="198" t="s">
        <v>497</v>
      </c>
      <c r="H159" s="177" t="s">
        <v>652</v>
      </c>
      <c r="I159" s="178"/>
      <c r="J159" s="176" t="b">
        <f>EXACT(G159,'Vh5205_C-89'!G159)</f>
        <v>1</v>
      </c>
    </row>
    <row r="160" spans="1:10" s="7" customFormat="1" x14ac:dyDescent="0.35">
      <c r="A160" s="90">
        <v>156</v>
      </c>
      <c r="B160" s="10" t="s">
        <v>707</v>
      </c>
      <c r="C160" s="10" t="s">
        <v>291</v>
      </c>
      <c r="D160" s="146"/>
      <c r="E160" s="146" t="s">
        <v>2</v>
      </c>
      <c r="F160" s="19" t="s">
        <v>26</v>
      </c>
      <c r="G160" s="192">
        <v>25</v>
      </c>
      <c r="H160" s="177" t="s">
        <v>652</v>
      </c>
      <c r="I160" s="178"/>
      <c r="J160" s="176" t="b">
        <f>EXACT(G160,'Vh5205_C-89'!G160)</f>
        <v>1</v>
      </c>
    </row>
    <row r="161" spans="1:10" s="7" customFormat="1" x14ac:dyDescent="0.35">
      <c r="A161" s="90">
        <v>157</v>
      </c>
      <c r="B161" s="146" t="s">
        <v>707</v>
      </c>
      <c r="C161" s="146" t="s">
        <v>293</v>
      </c>
      <c r="D161" s="146"/>
      <c r="E161" s="146"/>
      <c r="F161" s="20" t="s">
        <v>26</v>
      </c>
      <c r="G161" s="192" t="s">
        <v>196</v>
      </c>
      <c r="H161" s="177" t="s">
        <v>652</v>
      </c>
      <c r="I161" s="178"/>
      <c r="J161" s="176" t="b">
        <f>EXACT(G161,'Vh5205_C-89'!G161)</f>
        <v>1</v>
      </c>
    </row>
    <row r="162" spans="1:10" s="7" customFormat="1" x14ac:dyDescent="0.35">
      <c r="A162" s="90">
        <v>158</v>
      </c>
      <c r="B162" s="104" t="s">
        <v>707</v>
      </c>
      <c r="C162" s="104" t="s">
        <v>161</v>
      </c>
      <c r="D162" s="104"/>
      <c r="E162" s="104"/>
      <c r="F162" s="20" t="s">
        <v>79</v>
      </c>
      <c r="G162" s="161" t="s">
        <v>539</v>
      </c>
      <c r="H162" s="177" t="s">
        <v>652</v>
      </c>
      <c r="I162" s="178"/>
      <c r="J162" s="176" t="b">
        <f>EXACT(G162,'Vh5205_C-89'!G162)</f>
        <v>1</v>
      </c>
    </row>
    <row r="163" spans="1:10" x14ac:dyDescent="0.35">
      <c r="A163" s="90">
        <v>159</v>
      </c>
      <c r="B163" s="104" t="s">
        <v>707</v>
      </c>
      <c r="C163" s="104" t="s">
        <v>358</v>
      </c>
      <c r="D163" s="104"/>
      <c r="E163" s="104"/>
      <c r="F163" s="20" t="s">
        <v>26</v>
      </c>
      <c r="G163" s="195">
        <v>45104</v>
      </c>
      <c r="H163" s="140"/>
      <c r="I163" s="2"/>
      <c r="J163" s="2" t="b">
        <f>EXACT(G163,'Vh5205_C-89'!G163)</f>
        <v>0</v>
      </c>
    </row>
    <row r="164" spans="1:10" x14ac:dyDescent="0.35">
      <c r="A164" s="90">
        <v>160</v>
      </c>
      <c r="B164" s="104" t="s">
        <v>707</v>
      </c>
      <c r="C164" s="104" t="s">
        <v>271</v>
      </c>
      <c r="D164" s="104"/>
      <c r="E164" s="104"/>
      <c r="F164" s="20" t="s">
        <v>26</v>
      </c>
      <c r="G164" s="161" t="s">
        <v>492</v>
      </c>
      <c r="H164" s="177" t="s">
        <v>652</v>
      </c>
      <c r="I164" s="2"/>
      <c r="J164" s="176" t="b">
        <f>EXACT(G164,'Vh5205_C-89'!G164)</f>
        <v>1</v>
      </c>
    </row>
    <row r="165" spans="1:10" s="7" customFormat="1" x14ac:dyDescent="0.35">
      <c r="A165" s="90">
        <v>161</v>
      </c>
      <c r="B165" s="146" t="s">
        <v>707</v>
      </c>
      <c r="C165" s="146" t="s">
        <v>119</v>
      </c>
      <c r="D165" s="146"/>
      <c r="E165" s="146"/>
      <c r="F165" s="20" t="s">
        <v>26</v>
      </c>
      <c r="G165" s="161">
        <v>1</v>
      </c>
      <c r="H165" s="177" t="s">
        <v>652</v>
      </c>
      <c r="I165" s="178"/>
      <c r="J165" s="176" t="b">
        <f>EXACT(G165,'Vh5205_C-89'!G165)</f>
        <v>1</v>
      </c>
    </row>
    <row r="166" spans="1:10" s="7" customFormat="1" x14ac:dyDescent="0.35">
      <c r="A166" s="90">
        <v>162</v>
      </c>
      <c r="B166" s="146" t="s">
        <v>707</v>
      </c>
      <c r="C166" s="146" t="s">
        <v>145</v>
      </c>
      <c r="D166" s="146"/>
      <c r="E166" s="10" t="s">
        <v>171</v>
      </c>
      <c r="F166" s="20" t="s">
        <v>26</v>
      </c>
      <c r="G166" s="161" t="s">
        <v>543</v>
      </c>
      <c r="H166" s="177" t="s">
        <v>652</v>
      </c>
      <c r="I166" s="178"/>
      <c r="J166" s="176" t="b">
        <f>EXACT(G166,'Vh5205_C-89'!G166)</f>
        <v>1</v>
      </c>
    </row>
    <row r="167" spans="1:10" s="7" customFormat="1" x14ac:dyDescent="0.35">
      <c r="A167" s="90">
        <v>163</v>
      </c>
      <c r="B167" s="87" t="s">
        <v>707</v>
      </c>
      <c r="C167" s="87" t="s">
        <v>120</v>
      </c>
      <c r="D167" s="87"/>
      <c r="E167" s="87"/>
      <c r="F167" s="21" t="s">
        <v>26</v>
      </c>
      <c r="G167" s="194" t="s">
        <v>276</v>
      </c>
      <c r="H167" s="180" t="s">
        <v>652</v>
      </c>
      <c r="I167" s="178"/>
      <c r="J167" s="176" t="b">
        <f>EXACT(G167,'Vh5205_C-89'!G167)</f>
        <v>1</v>
      </c>
    </row>
    <row r="168" spans="1:10" s="7" customFormat="1" x14ac:dyDescent="0.35">
      <c r="A168" s="90"/>
      <c r="B168" s="10" t="s">
        <v>708</v>
      </c>
      <c r="C168" s="10"/>
      <c r="D168" s="146"/>
      <c r="E168" s="146"/>
      <c r="F168" s="20"/>
      <c r="G168" s="208"/>
      <c r="H168" s="180"/>
      <c r="I168" s="178"/>
      <c r="J168" s="1" t="b">
        <f>EXACT(G168,'Vh5205_C-89'!G168)</f>
        <v>1</v>
      </c>
    </row>
    <row r="169" spans="1:10" s="7" customFormat="1" ht="46.5" x14ac:dyDescent="0.35">
      <c r="A169" s="90">
        <v>164</v>
      </c>
      <c r="B169" s="102" t="s">
        <v>709</v>
      </c>
      <c r="C169" s="102" t="s">
        <v>588</v>
      </c>
      <c r="D169" s="100"/>
      <c r="E169" s="100"/>
      <c r="F169" s="18" t="s">
        <v>26</v>
      </c>
      <c r="G169" s="197" t="s">
        <v>657</v>
      </c>
      <c r="H169" s="177" t="s">
        <v>652</v>
      </c>
      <c r="I169" s="178"/>
      <c r="J169" s="176" t="b">
        <f>EXACT(G169,'Vh5205_C-89'!G169)</f>
        <v>1</v>
      </c>
    </row>
    <row r="170" spans="1:10" s="7" customFormat="1" ht="31" x14ac:dyDescent="0.35">
      <c r="A170" s="90">
        <v>165</v>
      </c>
      <c r="B170" s="10" t="s">
        <v>709</v>
      </c>
      <c r="C170" s="10" t="s">
        <v>589</v>
      </c>
      <c r="D170" s="146"/>
      <c r="E170" s="146"/>
      <c r="F170" s="23" t="s">
        <v>26</v>
      </c>
      <c r="G170" s="161" t="s">
        <v>622</v>
      </c>
      <c r="H170" s="177" t="s">
        <v>652</v>
      </c>
      <c r="I170" s="178"/>
      <c r="J170" s="176" t="b">
        <f>EXACT(G170,'Vh5205_C-89'!G170)</f>
        <v>1</v>
      </c>
    </row>
    <row r="171" spans="1:10" s="7" customFormat="1" ht="17.5" x14ac:dyDescent="0.35">
      <c r="A171" s="90">
        <v>166</v>
      </c>
      <c r="B171" s="10" t="s">
        <v>709</v>
      </c>
      <c r="C171" s="10" t="s">
        <v>498</v>
      </c>
      <c r="D171" s="146"/>
      <c r="E171" s="146"/>
      <c r="F171" s="23" t="s">
        <v>26</v>
      </c>
      <c r="G171" s="161" t="s">
        <v>658</v>
      </c>
      <c r="H171" s="177" t="s">
        <v>652</v>
      </c>
      <c r="I171" s="178"/>
      <c r="J171" s="176" t="b">
        <f>EXACT(G171,'Vh5205_C-89'!G171)</f>
        <v>1</v>
      </c>
    </row>
    <row r="172" spans="1:10" s="7" customFormat="1" x14ac:dyDescent="0.35">
      <c r="A172" s="90">
        <v>167</v>
      </c>
      <c r="B172" s="10" t="s">
        <v>709</v>
      </c>
      <c r="C172" s="10" t="s">
        <v>313</v>
      </c>
      <c r="D172" s="146"/>
      <c r="E172" s="146"/>
      <c r="F172" s="19" t="s">
        <v>26</v>
      </c>
      <c r="G172" s="192" t="s">
        <v>48</v>
      </c>
      <c r="H172" s="177" t="s">
        <v>652</v>
      </c>
      <c r="I172" s="178"/>
      <c r="J172" s="176" t="b">
        <f>EXACT(G172,'Vh5205_C-89'!G172)</f>
        <v>1</v>
      </c>
    </row>
    <row r="173" spans="1:10" s="7" customFormat="1" x14ac:dyDescent="0.35">
      <c r="A173" s="90">
        <v>168</v>
      </c>
      <c r="B173" s="146" t="s">
        <v>709</v>
      </c>
      <c r="C173" s="146" t="s">
        <v>306</v>
      </c>
      <c r="D173" s="146"/>
      <c r="E173" s="146"/>
      <c r="F173" s="19" t="s">
        <v>26</v>
      </c>
      <c r="G173" s="192" t="s">
        <v>524</v>
      </c>
      <c r="H173" s="177" t="s">
        <v>652</v>
      </c>
      <c r="I173" s="178"/>
      <c r="J173" s="176" t="b">
        <f>EXACT(G173,'Vh5205_C-89'!G173)</f>
        <v>1</v>
      </c>
    </row>
    <row r="174" spans="1:10" s="7" customFormat="1" x14ac:dyDescent="0.35">
      <c r="A174" s="90">
        <v>169</v>
      </c>
      <c r="B174" s="87" t="s">
        <v>709</v>
      </c>
      <c r="C174" s="87" t="s">
        <v>307</v>
      </c>
      <c r="D174" s="87"/>
      <c r="E174" s="87"/>
      <c r="F174" s="22" t="s">
        <v>79</v>
      </c>
      <c r="G174" s="196"/>
      <c r="H174" s="180"/>
      <c r="I174" s="178"/>
      <c r="J174" s="1" t="b">
        <f>EXACT(G174,'Vh5205_C-89'!G174)</f>
        <v>1</v>
      </c>
    </row>
    <row r="175" spans="1:10" s="7" customFormat="1" x14ac:dyDescent="0.35">
      <c r="A175" s="90">
        <v>170</v>
      </c>
      <c r="B175" s="146" t="s">
        <v>710</v>
      </c>
      <c r="C175" s="146" t="s">
        <v>10</v>
      </c>
      <c r="D175" s="146" t="s">
        <v>146</v>
      </c>
      <c r="E175" s="146" t="s">
        <v>2</v>
      </c>
      <c r="F175" s="19" t="s">
        <v>26</v>
      </c>
      <c r="G175" s="209">
        <v>6</v>
      </c>
      <c r="H175" s="177"/>
      <c r="I175" s="178"/>
      <c r="J175" s="1" t="b">
        <f>EXACT(G175,'Vh5205_C-89'!G175)</f>
        <v>1</v>
      </c>
    </row>
    <row r="176" spans="1:10" s="7" customFormat="1" ht="17.5" x14ac:dyDescent="0.35">
      <c r="A176" s="90">
        <v>171</v>
      </c>
      <c r="B176" s="146" t="s">
        <v>710</v>
      </c>
      <c r="C176" s="146" t="s">
        <v>11</v>
      </c>
      <c r="D176" s="146" t="s">
        <v>591</v>
      </c>
      <c r="E176" s="146" t="s">
        <v>2</v>
      </c>
      <c r="F176" s="19" t="s">
        <v>26</v>
      </c>
      <c r="G176" s="210">
        <v>24</v>
      </c>
      <c r="H176" s="177"/>
      <c r="I176" s="178"/>
      <c r="J176" s="1" t="b">
        <f>EXACT(G176,'Vh5205_C-89'!G176)</f>
        <v>1</v>
      </c>
    </row>
    <row r="177" spans="1:10" s="7" customFormat="1" ht="17.5" x14ac:dyDescent="0.35">
      <c r="A177" s="90">
        <v>172</v>
      </c>
      <c r="B177" s="146" t="s">
        <v>710</v>
      </c>
      <c r="C177" s="146" t="s">
        <v>439</v>
      </c>
      <c r="D177" s="146" t="s">
        <v>592</v>
      </c>
      <c r="E177" s="146" t="s">
        <v>2</v>
      </c>
      <c r="F177" s="19" t="s">
        <v>26</v>
      </c>
      <c r="G177" s="192">
        <v>36</v>
      </c>
      <c r="H177" s="177" t="s">
        <v>652</v>
      </c>
      <c r="I177" s="178"/>
      <c r="J177" s="176" t="b">
        <f>EXACT(G177,'Vh5205_C-89'!G177)</f>
        <v>1</v>
      </c>
    </row>
    <row r="178" spans="1:10" s="7" customFormat="1" x14ac:dyDescent="0.35">
      <c r="A178" s="90">
        <v>173</v>
      </c>
      <c r="B178" s="10" t="s">
        <v>710</v>
      </c>
      <c r="C178" s="10" t="s">
        <v>28</v>
      </c>
      <c r="D178" s="146" t="s">
        <v>593</v>
      </c>
      <c r="E178" s="146" t="s">
        <v>2</v>
      </c>
      <c r="F178" s="19" t="s">
        <v>26</v>
      </c>
      <c r="G178" s="211">
        <v>23.8</v>
      </c>
      <c r="H178" s="177"/>
      <c r="I178" s="178"/>
      <c r="J178" s="1" t="b">
        <f>EXACT(G178,'Vh5205_C-89'!G178)</f>
        <v>0</v>
      </c>
    </row>
    <row r="179" spans="1:10" s="7" customFormat="1" ht="17.5" x14ac:dyDescent="0.35">
      <c r="A179" s="90">
        <v>174</v>
      </c>
      <c r="B179" s="10" t="s">
        <v>710</v>
      </c>
      <c r="C179" s="10" t="s">
        <v>29</v>
      </c>
      <c r="D179" s="10" t="s">
        <v>440</v>
      </c>
      <c r="E179" s="146" t="s">
        <v>2</v>
      </c>
      <c r="F179" s="19" t="s">
        <v>26</v>
      </c>
      <c r="G179" s="210">
        <v>24</v>
      </c>
      <c r="H179" s="177"/>
      <c r="I179" s="178"/>
      <c r="J179" s="1" t="b">
        <f>EXACT(G179,'Vh5205_C-89'!G179)</f>
        <v>1</v>
      </c>
    </row>
    <row r="180" spans="1:10" s="7" customFormat="1" ht="17.5" x14ac:dyDescent="0.35">
      <c r="A180" s="90">
        <v>175</v>
      </c>
      <c r="B180" s="10" t="s">
        <v>710</v>
      </c>
      <c r="C180" s="10" t="s">
        <v>441</v>
      </c>
      <c r="D180" s="10" t="s">
        <v>442</v>
      </c>
      <c r="E180" s="146" t="s">
        <v>2</v>
      </c>
      <c r="F180" s="19" t="s">
        <v>26</v>
      </c>
      <c r="G180" s="192" t="s">
        <v>524</v>
      </c>
      <c r="H180" s="177" t="s">
        <v>652</v>
      </c>
      <c r="I180" s="178"/>
      <c r="J180" s="176" t="b">
        <f>EXACT(G180,'Vh5205_C-89'!G180)</f>
        <v>1</v>
      </c>
    </row>
    <row r="181" spans="1:10" s="7" customFormat="1" ht="17.5" x14ac:dyDescent="0.35">
      <c r="A181" s="90">
        <v>176</v>
      </c>
      <c r="B181" s="10" t="s">
        <v>710</v>
      </c>
      <c r="C181" s="10" t="s">
        <v>30</v>
      </c>
      <c r="D181" s="10" t="s">
        <v>443</v>
      </c>
      <c r="E181" s="146" t="s">
        <v>2</v>
      </c>
      <c r="F181" s="19" t="s">
        <v>26</v>
      </c>
      <c r="G181" s="211">
        <v>23.8</v>
      </c>
      <c r="H181" s="177"/>
      <c r="I181" s="178"/>
      <c r="J181" s="1" t="b">
        <f>EXACT(G181,'Vh5205_C-89'!G181)</f>
        <v>0</v>
      </c>
    </row>
    <row r="182" spans="1:10" s="7" customFormat="1" x14ac:dyDescent="0.35">
      <c r="A182" s="90">
        <v>177</v>
      </c>
      <c r="B182" s="146" t="s">
        <v>710</v>
      </c>
      <c r="C182" s="146" t="s">
        <v>444</v>
      </c>
      <c r="D182" s="10" t="s">
        <v>445</v>
      </c>
      <c r="E182" s="146" t="s">
        <v>2</v>
      </c>
      <c r="F182" s="19" t="s">
        <v>26</v>
      </c>
      <c r="G182" s="211">
        <v>4</v>
      </c>
      <c r="H182" s="177"/>
      <c r="I182" s="178"/>
      <c r="J182" s="1" t="b">
        <f>EXACT(G182,'Vh5205_C-89'!G182)</f>
        <v>1</v>
      </c>
    </row>
    <row r="183" spans="1:10" s="7" customFormat="1" ht="17.5" x14ac:dyDescent="0.35">
      <c r="A183" s="90">
        <v>178</v>
      </c>
      <c r="B183" s="146" t="s">
        <v>710</v>
      </c>
      <c r="C183" s="146" t="s">
        <v>446</v>
      </c>
      <c r="D183" s="10" t="s">
        <v>447</v>
      </c>
      <c r="E183" s="146" t="s">
        <v>2</v>
      </c>
      <c r="F183" s="19" t="s">
        <v>26</v>
      </c>
      <c r="G183" s="203">
        <v>4.51</v>
      </c>
      <c r="H183" s="177"/>
      <c r="I183" s="178"/>
      <c r="J183" s="1" t="b">
        <f>EXACT(G183,'Vh5205_C-89'!G183)</f>
        <v>1</v>
      </c>
    </row>
    <row r="184" spans="1:10" s="7" customFormat="1" x14ac:dyDescent="0.35">
      <c r="A184" s="90">
        <v>179</v>
      </c>
      <c r="B184" s="146" t="s">
        <v>710</v>
      </c>
      <c r="C184" s="146" t="s">
        <v>448</v>
      </c>
      <c r="D184" s="10" t="s">
        <v>449</v>
      </c>
      <c r="E184" s="146" t="s">
        <v>2</v>
      </c>
      <c r="F184" s="19" t="s">
        <v>26</v>
      </c>
      <c r="G184" s="192" t="s">
        <v>524</v>
      </c>
      <c r="H184" s="177" t="s">
        <v>652</v>
      </c>
      <c r="I184" s="178"/>
      <c r="J184" s="176" t="b">
        <f>EXACT(G184,'Vh5205_C-89'!G184)</f>
        <v>1</v>
      </c>
    </row>
    <row r="185" spans="1:10" s="7" customFormat="1" ht="17.5" x14ac:dyDescent="0.35">
      <c r="A185" s="90">
        <v>180</v>
      </c>
      <c r="B185" s="146" t="s">
        <v>710</v>
      </c>
      <c r="C185" s="146" t="s">
        <v>450</v>
      </c>
      <c r="D185" s="10" t="s">
        <v>451</v>
      </c>
      <c r="E185" s="146" t="s">
        <v>2</v>
      </c>
      <c r="F185" s="19" t="s">
        <v>26</v>
      </c>
      <c r="G185" s="192" t="s">
        <v>524</v>
      </c>
      <c r="H185" s="177" t="s">
        <v>652</v>
      </c>
      <c r="I185" s="178"/>
      <c r="J185" s="176" t="b">
        <f>EXACT(G185,'Vh5205_C-89'!G185)</f>
        <v>1</v>
      </c>
    </row>
    <row r="186" spans="1:10" s="7" customFormat="1" x14ac:dyDescent="0.35">
      <c r="A186" s="90">
        <v>181</v>
      </c>
      <c r="B186" s="146" t="s">
        <v>710</v>
      </c>
      <c r="C186" s="146" t="s">
        <v>452</v>
      </c>
      <c r="D186" s="10" t="s">
        <v>453</v>
      </c>
      <c r="E186" s="146" t="s">
        <v>2</v>
      </c>
      <c r="F186" s="19" t="s">
        <v>26</v>
      </c>
      <c r="G186" s="211">
        <v>4</v>
      </c>
      <c r="H186" s="177"/>
      <c r="I186" s="178"/>
      <c r="J186" s="1" t="b">
        <f>EXACT(G186,'Vh5205_C-89'!G186)</f>
        <v>0</v>
      </c>
    </row>
    <row r="187" spans="1:10" s="7" customFormat="1" ht="17.5" x14ac:dyDescent="0.35">
      <c r="A187" s="90">
        <v>182</v>
      </c>
      <c r="B187" s="87" t="s">
        <v>710</v>
      </c>
      <c r="C187" s="87" t="s">
        <v>454</v>
      </c>
      <c r="D187" s="13" t="s">
        <v>455</v>
      </c>
      <c r="E187" s="87" t="s">
        <v>2</v>
      </c>
      <c r="F187" s="22" t="s">
        <v>26</v>
      </c>
      <c r="G187" s="212">
        <v>4.4800000000000004</v>
      </c>
      <c r="H187" s="180"/>
      <c r="I187" s="178"/>
      <c r="J187" s="1" t="b">
        <f>EXACT(G187,'Vh5205_C-89'!G187)</f>
        <v>0</v>
      </c>
    </row>
    <row r="188" spans="1:10" s="7" customFormat="1" x14ac:dyDescent="0.35">
      <c r="A188" s="90">
        <v>183</v>
      </c>
      <c r="B188" s="146" t="s">
        <v>711</v>
      </c>
      <c r="C188" s="146" t="s">
        <v>45</v>
      </c>
      <c r="D188" s="146" t="s">
        <v>36</v>
      </c>
      <c r="E188" s="146" t="s">
        <v>314</v>
      </c>
      <c r="F188" s="19" t="s">
        <v>26</v>
      </c>
      <c r="G188" s="192" t="s">
        <v>544</v>
      </c>
      <c r="H188" s="177" t="s">
        <v>652</v>
      </c>
      <c r="I188" s="178"/>
      <c r="J188" s="176" t="b">
        <f>EXACT(G188,'Vh5205_C-89'!G188)</f>
        <v>1</v>
      </c>
    </row>
    <row r="189" spans="1:10" s="7" customFormat="1" x14ac:dyDescent="0.35">
      <c r="A189" s="90">
        <v>184</v>
      </c>
      <c r="B189" s="10" t="s">
        <v>711</v>
      </c>
      <c r="C189" s="10" t="s">
        <v>47</v>
      </c>
      <c r="D189" s="106" t="s">
        <v>597</v>
      </c>
      <c r="E189" s="146" t="s">
        <v>2</v>
      </c>
      <c r="F189" s="19" t="s">
        <v>79</v>
      </c>
      <c r="G189" s="161"/>
      <c r="H189" s="177"/>
      <c r="I189" s="178"/>
      <c r="J189" s="1" t="b">
        <f>EXACT(G189,'Vh5205_C-89'!G189)</f>
        <v>1</v>
      </c>
    </row>
    <row r="190" spans="1:10" s="7" customFormat="1" ht="17.5" x14ac:dyDescent="0.35">
      <c r="A190" s="90">
        <v>185</v>
      </c>
      <c r="B190" s="10" t="s">
        <v>711</v>
      </c>
      <c r="C190" s="10" t="s">
        <v>175</v>
      </c>
      <c r="D190" s="106" t="s">
        <v>598</v>
      </c>
      <c r="E190" s="146" t="s">
        <v>2</v>
      </c>
      <c r="F190" s="19" t="s">
        <v>79</v>
      </c>
      <c r="G190" s="161"/>
      <c r="H190" s="177"/>
      <c r="I190" s="178"/>
      <c r="J190" s="1" t="b">
        <f>EXACT(G190,'Vh5205_C-89'!G190)</f>
        <v>1</v>
      </c>
    </row>
    <row r="191" spans="1:10" s="7" customFormat="1" x14ac:dyDescent="0.35">
      <c r="A191" s="90">
        <v>186</v>
      </c>
      <c r="B191" s="146" t="s">
        <v>711</v>
      </c>
      <c r="C191" s="146" t="s">
        <v>12</v>
      </c>
      <c r="D191" s="146"/>
      <c r="E191" s="146" t="s">
        <v>5</v>
      </c>
      <c r="F191" s="19" t="s">
        <v>26</v>
      </c>
      <c r="G191" s="161">
        <v>2.04</v>
      </c>
      <c r="H191" s="177"/>
      <c r="I191" s="178"/>
      <c r="J191" s="1" t="b">
        <f>EXACT(G191,'Vh5205_C-89'!G191)</f>
        <v>0</v>
      </c>
    </row>
    <row r="192" spans="1:10" s="7" customFormat="1" x14ac:dyDescent="0.35">
      <c r="A192" s="90">
        <v>187</v>
      </c>
      <c r="B192" s="146" t="s">
        <v>711</v>
      </c>
      <c r="C192" s="146" t="s">
        <v>53</v>
      </c>
      <c r="D192" s="146"/>
      <c r="E192" s="146" t="s">
        <v>5</v>
      </c>
      <c r="F192" s="19" t="s">
        <v>26</v>
      </c>
      <c r="G192" s="161">
        <v>2.0299999999999998</v>
      </c>
      <c r="H192" s="177"/>
      <c r="I192" s="178"/>
      <c r="J192" s="1" t="b">
        <f>EXACT(G192,'Vh5205_C-89'!G192)</f>
        <v>0</v>
      </c>
    </row>
    <row r="193" spans="1:10" s="7" customFormat="1" x14ac:dyDescent="0.35">
      <c r="A193" s="90">
        <v>188</v>
      </c>
      <c r="B193" s="146" t="s">
        <v>711</v>
      </c>
      <c r="C193" s="146" t="s">
        <v>8</v>
      </c>
      <c r="D193" s="146" t="s">
        <v>36</v>
      </c>
      <c r="E193" s="146" t="s">
        <v>5</v>
      </c>
      <c r="F193" s="22" t="s">
        <v>26</v>
      </c>
      <c r="G193" s="213">
        <v>1030</v>
      </c>
      <c r="H193" s="180"/>
      <c r="I193" s="178"/>
      <c r="J193" s="1" t="b">
        <f>EXACT(G193,'Vh5205_C-89'!G193)</f>
        <v>0</v>
      </c>
    </row>
    <row r="194" spans="1:10" s="7" customFormat="1" ht="17.5" x14ac:dyDescent="0.35">
      <c r="A194" s="90">
        <v>189</v>
      </c>
      <c r="B194" s="100" t="s">
        <v>712</v>
      </c>
      <c r="C194" s="100" t="s">
        <v>118</v>
      </c>
      <c r="D194" s="100" t="s">
        <v>599</v>
      </c>
      <c r="E194" s="100" t="s">
        <v>5</v>
      </c>
      <c r="F194" s="19" t="s">
        <v>26</v>
      </c>
      <c r="G194" s="214" t="s">
        <v>524</v>
      </c>
      <c r="H194" s="177"/>
      <c r="I194" s="178"/>
      <c r="J194" s="1" t="b">
        <f>EXACT(G194,'Vh5205_C-89'!G194)</f>
        <v>0</v>
      </c>
    </row>
    <row r="195" spans="1:10" s="7" customFormat="1" x14ac:dyDescent="0.35">
      <c r="A195" s="90">
        <v>190</v>
      </c>
      <c r="B195" s="10" t="s">
        <v>712</v>
      </c>
      <c r="C195" s="10" t="s">
        <v>176</v>
      </c>
      <c r="D195" s="146"/>
      <c r="E195" s="146"/>
      <c r="F195" s="19" t="s">
        <v>26</v>
      </c>
      <c r="G195" s="161" t="s">
        <v>524</v>
      </c>
      <c r="H195" s="177"/>
      <c r="I195" s="178"/>
      <c r="J195" s="1" t="b">
        <f>EXACT(G195,'Vh5205_C-89'!G195)</f>
        <v>0</v>
      </c>
    </row>
    <row r="196" spans="1:10" s="7" customFormat="1" x14ac:dyDescent="0.35">
      <c r="A196" s="90">
        <v>191</v>
      </c>
      <c r="B196" s="13" t="s">
        <v>712</v>
      </c>
      <c r="C196" s="13" t="s">
        <v>38</v>
      </c>
      <c r="D196" s="87" t="s">
        <v>49</v>
      </c>
      <c r="E196" s="87" t="s">
        <v>2</v>
      </c>
      <c r="F196" s="22" t="s">
        <v>79</v>
      </c>
      <c r="G196" s="215" t="s">
        <v>524</v>
      </c>
      <c r="H196" s="180"/>
      <c r="I196" s="178"/>
      <c r="J196" s="1" t="b">
        <f>EXACT(G196,'Vh5205_C-89'!G196)</f>
        <v>0</v>
      </c>
    </row>
    <row r="197" spans="1:10" s="7" customFormat="1" ht="17.5" x14ac:dyDescent="0.35">
      <c r="A197" s="90">
        <v>192</v>
      </c>
      <c r="B197" s="10" t="s">
        <v>711</v>
      </c>
      <c r="C197" s="10" t="s">
        <v>22</v>
      </c>
      <c r="D197" s="10" t="s">
        <v>46</v>
      </c>
      <c r="E197" s="10" t="s">
        <v>3</v>
      </c>
      <c r="F197" s="19" t="s">
        <v>26</v>
      </c>
      <c r="G197" s="192" t="s">
        <v>545</v>
      </c>
      <c r="H197" s="177" t="s">
        <v>652</v>
      </c>
      <c r="I197" s="178"/>
      <c r="J197" s="176" t="b">
        <f>EXACT(G197,'Vh5205_C-89'!G197)</f>
        <v>1</v>
      </c>
    </row>
    <row r="198" spans="1:10" s="7" customFormat="1" x14ac:dyDescent="0.35">
      <c r="A198" s="90">
        <v>193</v>
      </c>
      <c r="B198" s="10" t="s">
        <v>711</v>
      </c>
      <c r="C198" s="10" t="s">
        <v>193</v>
      </c>
      <c r="D198" s="5"/>
      <c r="E198" s="10" t="s">
        <v>0</v>
      </c>
      <c r="F198" s="19" t="s">
        <v>26</v>
      </c>
      <c r="G198" s="192" t="s">
        <v>659</v>
      </c>
      <c r="H198" s="177" t="s">
        <v>652</v>
      </c>
      <c r="I198" s="178"/>
      <c r="J198" s="176" t="b">
        <f>EXACT(G198,'Vh5205_C-89'!G198)</f>
        <v>1</v>
      </c>
    </row>
    <row r="199" spans="1:10" s="7" customFormat="1" x14ac:dyDescent="0.35">
      <c r="A199" s="90">
        <v>194</v>
      </c>
      <c r="B199" s="146" t="s">
        <v>711</v>
      </c>
      <c r="C199" s="146" t="s">
        <v>13</v>
      </c>
      <c r="D199" s="146"/>
      <c r="E199" s="146" t="s">
        <v>6</v>
      </c>
      <c r="F199" s="19" t="s">
        <v>79</v>
      </c>
      <c r="G199" s="161"/>
      <c r="H199" s="177"/>
      <c r="I199" s="178"/>
      <c r="J199" s="1" t="b">
        <f>EXACT(G199,'Vh5205_C-89'!G199)</f>
        <v>1</v>
      </c>
    </row>
    <row r="200" spans="1:10" s="7" customFormat="1" x14ac:dyDescent="0.35">
      <c r="A200" s="90">
        <v>195</v>
      </c>
      <c r="B200" s="146" t="s">
        <v>711</v>
      </c>
      <c r="C200" s="146" t="s">
        <v>14</v>
      </c>
      <c r="D200" s="146"/>
      <c r="E200" s="146" t="s">
        <v>6</v>
      </c>
      <c r="F200" s="19" t="s">
        <v>79</v>
      </c>
      <c r="G200" s="161"/>
      <c r="H200" s="177"/>
      <c r="I200" s="178"/>
      <c r="J200" s="1" t="b">
        <f>EXACT(G200,'Vh5205_C-89'!G200)</f>
        <v>1</v>
      </c>
    </row>
    <row r="201" spans="1:10" s="7" customFormat="1" x14ac:dyDescent="0.35">
      <c r="A201" s="90">
        <v>196</v>
      </c>
      <c r="B201" s="146" t="s">
        <v>711</v>
      </c>
      <c r="C201" s="146" t="s">
        <v>19</v>
      </c>
      <c r="D201" s="146"/>
      <c r="E201" s="146" t="s">
        <v>113</v>
      </c>
      <c r="F201" s="19" t="s">
        <v>79</v>
      </c>
      <c r="G201" s="161"/>
      <c r="H201" s="177"/>
      <c r="I201" s="178"/>
      <c r="J201" s="1" t="b">
        <f>EXACT(G201,'Vh5205_C-89'!G201)</f>
        <v>1</v>
      </c>
    </row>
    <row r="202" spans="1:10" s="7" customFormat="1" x14ac:dyDescent="0.35">
      <c r="A202" s="90">
        <v>197</v>
      </c>
      <c r="B202" s="146" t="s">
        <v>711</v>
      </c>
      <c r="C202" s="146" t="s">
        <v>20</v>
      </c>
      <c r="D202" s="146"/>
      <c r="E202" s="146" t="s">
        <v>113</v>
      </c>
      <c r="F202" s="19" t="s">
        <v>79</v>
      </c>
      <c r="G202" s="161"/>
      <c r="H202" s="177"/>
      <c r="I202" s="178"/>
      <c r="J202" s="1" t="b">
        <f>EXACT(G202,'Vh5205_C-89'!G202)</f>
        <v>1</v>
      </c>
    </row>
    <row r="203" spans="1:10" s="7" customFormat="1" x14ac:dyDescent="0.35">
      <c r="A203" s="90">
        <v>198</v>
      </c>
      <c r="B203" s="13" t="s">
        <v>711</v>
      </c>
      <c r="C203" s="13" t="s">
        <v>317</v>
      </c>
      <c r="D203" s="10" t="s">
        <v>35</v>
      </c>
      <c r="E203" s="10" t="s">
        <v>1</v>
      </c>
      <c r="F203" s="22" t="s">
        <v>26</v>
      </c>
      <c r="G203" s="194" t="s">
        <v>626</v>
      </c>
      <c r="H203" s="180" t="s">
        <v>652</v>
      </c>
      <c r="I203" s="178"/>
      <c r="J203" s="176" t="b">
        <f>EXACT(G203,'Vh5205_C-89'!G203)</f>
        <v>1</v>
      </c>
    </row>
    <row r="204" spans="1:10" s="7" customFormat="1" ht="17.5" x14ac:dyDescent="0.35">
      <c r="A204" s="90">
        <v>199</v>
      </c>
      <c r="B204" s="10" t="s">
        <v>713</v>
      </c>
      <c r="C204" s="10" t="s">
        <v>180</v>
      </c>
      <c r="D204" s="102" t="s">
        <v>181</v>
      </c>
      <c r="E204" s="100" t="s">
        <v>1</v>
      </c>
      <c r="F204" s="23" t="s">
        <v>26</v>
      </c>
      <c r="G204" s="161">
        <v>0.83</v>
      </c>
      <c r="H204" s="177"/>
      <c r="I204" s="178"/>
      <c r="J204" s="1" t="b">
        <f>EXACT(G204,'Vh5205_C-89'!G204)</f>
        <v>0</v>
      </c>
    </row>
    <row r="205" spans="1:10" s="7" customFormat="1" x14ac:dyDescent="0.35">
      <c r="A205" s="90">
        <v>200</v>
      </c>
      <c r="B205" s="146" t="s">
        <v>713</v>
      </c>
      <c r="C205" s="146" t="s">
        <v>37</v>
      </c>
      <c r="D205" s="146" t="s">
        <v>50</v>
      </c>
      <c r="E205" s="146" t="s">
        <v>1</v>
      </c>
      <c r="F205" s="23" t="s">
        <v>26</v>
      </c>
      <c r="G205" s="216" t="s">
        <v>524</v>
      </c>
      <c r="H205" s="177"/>
      <c r="I205" s="178"/>
      <c r="J205" s="1" t="b">
        <f>EXACT(G205,'Vh5205_C-89'!G205)</f>
        <v>0</v>
      </c>
    </row>
    <row r="206" spans="1:10" s="7" customFormat="1" ht="17.5" x14ac:dyDescent="0.35">
      <c r="A206" s="90">
        <v>201</v>
      </c>
      <c r="B206" s="87" t="s">
        <v>713</v>
      </c>
      <c r="C206" s="87" t="s">
        <v>610</v>
      </c>
      <c r="D206" s="13" t="s">
        <v>182</v>
      </c>
      <c r="E206" s="103" t="s">
        <v>1</v>
      </c>
      <c r="F206" s="24" t="s">
        <v>26</v>
      </c>
      <c r="G206" s="217" t="s">
        <v>524</v>
      </c>
      <c r="H206" s="180"/>
      <c r="I206" s="178"/>
      <c r="J206" s="1" t="b">
        <f>EXACT(G206,'Vh5205_C-89'!G206)</f>
        <v>0</v>
      </c>
    </row>
    <row r="207" spans="1:10" s="7" customFormat="1" x14ac:dyDescent="0.35">
      <c r="A207" s="90">
        <v>202</v>
      </c>
      <c r="B207" s="5" t="s">
        <v>714</v>
      </c>
      <c r="C207" s="5" t="s">
        <v>392</v>
      </c>
      <c r="D207" s="146"/>
      <c r="E207" s="146"/>
      <c r="F207" s="23" t="s">
        <v>26</v>
      </c>
      <c r="G207" s="161" t="s">
        <v>524</v>
      </c>
      <c r="H207" s="177" t="s">
        <v>652</v>
      </c>
      <c r="I207" s="178"/>
      <c r="J207" s="176" t="b">
        <f>EXACT(G207,'Vh5205_C-89'!G207)</f>
        <v>1</v>
      </c>
    </row>
    <row r="208" spans="1:10" s="7" customFormat="1" x14ac:dyDescent="0.35">
      <c r="A208" s="90">
        <v>203</v>
      </c>
      <c r="B208" s="146" t="s">
        <v>714</v>
      </c>
      <c r="C208" s="146" t="s">
        <v>25</v>
      </c>
      <c r="D208" s="146" t="s">
        <v>601</v>
      </c>
      <c r="E208" s="146" t="s">
        <v>1</v>
      </c>
      <c r="F208" s="19" t="s">
        <v>26</v>
      </c>
      <c r="G208" s="224">
        <v>1</v>
      </c>
      <c r="H208" s="177"/>
      <c r="I208" s="178"/>
      <c r="J208" s="1" t="b">
        <f>EXACT(G208,'Vh5205_C-89'!G208)</f>
        <v>0</v>
      </c>
    </row>
    <row r="209" spans="1:10" s="7" customFormat="1" x14ac:dyDescent="0.35">
      <c r="A209" s="90">
        <v>204</v>
      </c>
      <c r="B209" s="146" t="s">
        <v>714</v>
      </c>
      <c r="C209" s="146" t="s">
        <v>33</v>
      </c>
      <c r="D209" s="146" t="s">
        <v>602</v>
      </c>
      <c r="E209" s="146" t="s">
        <v>1</v>
      </c>
      <c r="F209" s="19" t="s">
        <v>26</v>
      </c>
      <c r="G209" s="219">
        <v>0.17699999999999999</v>
      </c>
      <c r="H209" s="177"/>
      <c r="I209" s="178"/>
      <c r="J209" s="1" t="b">
        <f>EXACT(G209,'Vh5205_C-89'!G209)</f>
        <v>0</v>
      </c>
    </row>
    <row r="210" spans="1:10" s="7" customFormat="1" ht="17.5" x14ac:dyDescent="0.35">
      <c r="A210" s="90">
        <v>205</v>
      </c>
      <c r="B210" s="146" t="s">
        <v>714</v>
      </c>
      <c r="C210" s="146" t="s">
        <v>27</v>
      </c>
      <c r="D210" s="146" t="s">
        <v>603</v>
      </c>
      <c r="E210" s="146" t="s">
        <v>1</v>
      </c>
      <c r="F210" s="19" t="s">
        <v>26</v>
      </c>
      <c r="G210" s="219">
        <v>0.17699999999999999</v>
      </c>
      <c r="H210" s="177"/>
      <c r="I210" s="178"/>
      <c r="J210" s="1" t="b">
        <f>EXACT(G210,'Vh5205_C-89'!G210)</f>
        <v>0</v>
      </c>
    </row>
    <row r="211" spans="1:10" s="7" customFormat="1" x14ac:dyDescent="0.35">
      <c r="A211" s="90">
        <v>206</v>
      </c>
      <c r="B211" s="146" t="s">
        <v>714</v>
      </c>
      <c r="C211" s="146" t="s">
        <v>34</v>
      </c>
      <c r="D211" s="146" t="s">
        <v>604</v>
      </c>
      <c r="E211" s="146" t="s">
        <v>1</v>
      </c>
      <c r="F211" s="19" t="s">
        <v>26</v>
      </c>
      <c r="G211" s="216">
        <v>0</v>
      </c>
      <c r="H211" s="177"/>
      <c r="I211" s="178"/>
      <c r="J211" s="1" t="b">
        <f>EXACT(G211,'Vh5205_C-89'!G211)</f>
        <v>0</v>
      </c>
    </row>
    <row r="212" spans="1:10" s="7" customFormat="1" x14ac:dyDescent="0.35">
      <c r="A212" s="90">
        <v>207</v>
      </c>
      <c r="B212" s="146" t="s">
        <v>714</v>
      </c>
      <c r="C212" s="146" t="s">
        <v>24</v>
      </c>
      <c r="D212" s="146" t="s">
        <v>605</v>
      </c>
      <c r="E212" s="146" t="s">
        <v>1</v>
      </c>
      <c r="F212" s="19" t="s">
        <v>26</v>
      </c>
      <c r="G212" s="219">
        <v>0.82799999999999996</v>
      </c>
      <c r="H212" s="183"/>
      <c r="I212" s="178"/>
      <c r="J212" s="1" t="b">
        <f>EXACT(G212,'Vh5205_C-89'!G212)</f>
        <v>0</v>
      </c>
    </row>
    <row r="213" spans="1:10" s="7" customFormat="1" ht="17.5" x14ac:dyDescent="0.35">
      <c r="A213" s="123">
        <v>208</v>
      </c>
      <c r="B213" s="87" t="s">
        <v>714</v>
      </c>
      <c r="C213" s="87" t="s">
        <v>23</v>
      </c>
      <c r="D213" s="87" t="s">
        <v>606</v>
      </c>
      <c r="E213" s="87" t="s">
        <v>1</v>
      </c>
      <c r="F213" s="22" t="s">
        <v>26</v>
      </c>
      <c r="G213" s="220">
        <v>0.82799999999999996</v>
      </c>
      <c r="H213" s="184"/>
      <c r="I213" s="178"/>
      <c r="J213" s="1" t="b">
        <f>EXACT(G213,'Vh5205_C-89'!G213)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row r="233" spans="7:7" x14ac:dyDescent="0.35">
      <c r="G233" s="225"/>
    </row>
    <row r="234" spans="7:7" x14ac:dyDescent="0.35">
      <c r="G234" s="225"/>
    </row>
    <row r="235" spans="7:7" x14ac:dyDescent="0.35">
      <c r="G235" s="225"/>
    </row>
    <row r="236" spans="7:7" x14ac:dyDescent="0.35">
      <c r="G236" s="225"/>
    </row>
    <row r="237" spans="7:7" x14ac:dyDescent="0.35">
      <c r="G237" s="225"/>
    </row>
    <row r="238" spans="7:7" x14ac:dyDescent="0.35">
      <c r="G238" s="225"/>
    </row>
    <row r="239" spans="7:7" x14ac:dyDescent="0.35">
      <c r="G239" s="225"/>
    </row>
    <row r="240" spans="7:7" x14ac:dyDescent="0.35">
      <c r="G240" s="225"/>
    </row>
    <row r="241" spans="7:7" x14ac:dyDescent="0.35">
      <c r="G241" s="225"/>
    </row>
  </sheetData>
  <autoFilter ref="A3:F213" xr:uid="{0A856DFA-CB07-44AD-95A9-DB3CF6EFDDB4}"/>
  <mergeCells count="1">
    <mergeCell ref="C1:D1"/>
  </mergeCells>
  <conditionalFormatting sqref="F4:F213">
    <cfRule type="cellIs" dxfId="1170" priority="302" operator="equal">
      <formula>"Mandatory"</formula>
    </cfRule>
  </conditionalFormatting>
  <conditionalFormatting sqref="F4:F213">
    <cfRule type="cellIs" dxfId="1169" priority="300" operator="equal">
      <formula>"Recommended"</formula>
    </cfRule>
    <cfRule type="cellIs" dxfId="1168" priority="301" operator="equal">
      <formula>"Optional"</formula>
    </cfRule>
  </conditionalFormatting>
  <conditionalFormatting sqref="F4:F213">
    <cfRule type="cellIs" dxfId="1167" priority="299" operator="equal">
      <formula>"Undecided"</formula>
    </cfRule>
  </conditionalFormatting>
  <conditionalFormatting sqref="G227:G232">
    <cfRule type="cellIs" dxfId="1166" priority="133" operator="notEqual">
      <formula>0</formula>
    </cfRule>
  </conditionalFormatting>
  <conditionalFormatting sqref="G15 G177 G180 G184:G185 G188 G197:G198 G20 G44 G34:G38 G51:G53 G68 G57:G60 G83:G85 G141 G203 G212:G213 G40">
    <cfRule type="cellIs" dxfId="1165" priority="92" operator="equal">
      <formula>"Mandatory"</formula>
    </cfRule>
  </conditionalFormatting>
  <conditionalFormatting sqref="G15 G177 G180 G184:G185 G188 G197:G198 G20 G44 G34:G38 G51:G53 G68 G57:G60 G83:G85 G141 G203 G212:G213 G40">
    <cfRule type="cellIs" dxfId="1164" priority="90" operator="equal">
      <formula>"Not Mandatory"</formula>
    </cfRule>
    <cfRule type="cellIs" dxfId="1163" priority="91" operator="equal">
      <formula>"Recommended"</formula>
    </cfRule>
  </conditionalFormatting>
  <conditionalFormatting sqref="G44 G37:G38 G52:G53 G57:G60 G85 G40">
    <cfRule type="cellIs" dxfId="1162" priority="88" operator="equal">
      <formula>"Not Mandatory"</formula>
    </cfRule>
    <cfRule type="cellIs" dxfId="1161" priority="89" operator="equal">
      <formula>"Recommended"</formula>
    </cfRule>
  </conditionalFormatting>
  <conditionalFormatting sqref="G44 G37:G38 G52:G53 G57:G60 G85 G40">
    <cfRule type="cellIs" dxfId="1160" priority="86" operator="equal">
      <formula>"Not Mandatory"</formula>
    </cfRule>
    <cfRule type="cellIs" dxfId="1159" priority="87" operator="equal">
      <formula>"Recommended"</formula>
    </cfRule>
  </conditionalFormatting>
  <conditionalFormatting sqref="G48:G49">
    <cfRule type="cellIs" dxfId="1158" priority="85" operator="equal">
      <formula>"Mandatory"</formula>
    </cfRule>
  </conditionalFormatting>
  <conditionalFormatting sqref="G48:G49">
    <cfRule type="cellIs" dxfId="1157" priority="83" operator="equal">
      <formula>"Not Mandatory"</formula>
    </cfRule>
    <cfRule type="cellIs" dxfId="1156" priority="84" operator="equal">
      <formula>"Recommended"</formula>
    </cfRule>
  </conditionalFormatting>
  <conditionalFormatting sqref="G48:G49">
    <cfRule type="cellIs" dxfId="1155" priority="81" operator="equal">
      <formula>"Not Mandatory"</formula>
    </cfRule>
    <cfRule type="cellIs" dxfId="1154" priority="82" operator="equal">
      <formula>"Recommended"</formula>
    </cfRule>
  </conditionalFormatting>
  <conditionalFormatting sqref="G48:G49">
    <cfRule type="cellIs" dxfId="1153" priority="79" operator="equal">
      <formula>"Not Mandatory"</formula>
    </cfRule>
    <cfRule type="cellIs" dxfId="1152" priority="80" operator="equal">
      <formula>"Recommended"</formula>
    </cfRule>
  </conditionalFormatting>
  <conditionalFormatting sqref="G69">
    <cfRule type="cellIs" dxfId="1151" priority="78" operator="equal">
      <formula>"Mandatory"</formula>
    </cfRule>
  </conditionalFormatting>
  <conditionalFormatting sqref="G69">
    <cfRule type="cellIs" dxfId="1150" priority="76" operator="equal">
      <formula>"Not Mandatory"</formula>
    </cfRule>
    <cfRule type="cellIs" dxfId="1149" priority="77" operator="equal">
      <formula>"Recommended"</formula>
    </cfRule>
  </conditionalFormatting>
  <conditionalFormatting sqref="G86">
    <cfRule type="cellIs" dxfId="1148" priority="75" operator="equal">
      <formula>"Mandatory"</formula>
    </cfRule>
  </conditionalFormatting>
  <conditionalFormatting sqref="G86">
    <cfRule type="cellIs" dxfId="1147" priority="73" operator="equal">
      <formula>"Not Mandatory"</formula>
    </cfRule>
    <cfRule type="cellIs" dxfId="1146" priority="74" operator="equal">
      <formula>"Recommended"</formula>
    </cfRule>
  </conditionalFormatting>
  <conditionalFormatting sqref="G86">
    <cfRule type="cellIs" dxfId="1145" priority="71" operator="equal">
      <formula>"Not Mandatory"</formula>
    </cfRule>
    <cfRule type="cellIs" dxfId="1144" priority="72" operator="equal">
      <formula>"Recommended"</formula>
    </cfRule>
  </conditionalFormatting>
  <conditionalFormatting sqref="G86">
    <cfRule type="cellIs" dxfId="1143" priority="69" operator="equal">
      <formula>"Not Mandatory"</formula>
    </cfRule>
    <cfRule type="cellIs" dxfId="1142" priority="70" operator="equal">
      <formula>"Recommended"</formula>
    </cfRule>
  </conditionalFormatting>
  <conditionalFormatting sqref="G9:G13">
    <cfRule type="cellIs" dxfId="1141" priority="68" operator="equal">
      <formula>"Mandatory"</formula>
    </cfRule>
  </conditionalFormatting>
  <conditionalFormatting sqref="G9:G13">
    <cfRule type="cellIs" dxfId="1140" priority="66" operator="equal">
      <formula>"Not Mandatory"</formula>
    </cfRule>
    <cfRule type="cellIs" dxfId="1139" priority="67" operator="equal">
      <formula>"Recommended"</formula>
    </cfRule>
  </conditionalFormatting>
  <conditionalFormatting sqref="G31:G33">
    <cfRule type="cellIs" dxfId="1138" priority="65" operator="equal">
      <formula>"Mandatory"</formula>
    </cfRule>
  </conditionalFormatting>
  <conditionalFormatting sqref="G31:G33">
    <cfRule type="cellIs" dxfId="1137" priority="63" operator="equal">
      <formula>"Not Mandatory"</formula>
    </cfRule>
    <cfRule type="cellIs" dxfId="1136" priority="64" operator="equal">
      <formula>"Recommended"</formula>
    </cfRule>
  </conditionalFormatting>
  <conditionalFormatting sqref="G31:G33">
    <cfRule type="cellIs" dxfId="1135" priority="61" operator="equal">
      <formula>"Not Mandatory"</formula>
    </cfRule>
    <cfRule type="cellIs" dxfId="1134" priority="62" operator="equal">
      <formula>"Recommended"</formula>
    </cfRule>
  </conditionalFormatting>
  <conditionalFormatting sqref="G31:G33">
    <cfRule type="cellIs" dxfId="1133" priority="59" operator="equal">
      <formula>"Not Mandatory"</formula>
    </cfRule>
    <cfRule type="cellIs" dxfId="1132" priority="60" operator="equal">
      <formula>"Recommended"</formula>
    </cfRule>
  </conditionalFormatting>
  <conditionalFormatting sqref="G41">
    <cfRule type="cellIs" dxfId="1131" priority="58" operator="equal">
      <formula>"Mandatory"</formula>
    </cfRule>
  </conditionalFormatting>
  <conditionalFormatting sqref="G41">
    <cfRule type="cellIs" dxfId="1130" priority="56" operator="equal">
      <formula>"Not Mandatory"</formula>
    </cfRule>
    <cfRule type="cellIs" dxfId="1129" priority="57" operator="equal">
      <formula>"Recommended"</formula>
    </cfRule>
  </conditionalFormatting>
  <conditionalFormatting sqref="G41">
    <cfRule type="cellIs" dxfId="1128" priority="54" operator="equal">
      <formula>"Not Mandatory"</formula>
    </cfRule>
    <cfRule type="cellIs" dxfId="1127" priority="55" operator="equal">
      <formula>"Recommended"</formula>
    </cfRule>
  </conditionalFormatting>
  <conditionalFormatting sqref="G41">
    <cfRule type="cellIs" dxfId="1126" priority="52" operator="equal">
      <formula>"Not Mandatory"</formula>
    </cfRule>
    <cfRule type="cellIs" dxfId="1125" priority="53" operator="equal">
      <formula>"Recommended"</formula>
    </cfRule>
  </conditionalFormatting>
  <conditionalFormatting sqref="G90">
    <cfRule type="cellIs" dxfId="1124" priority="51" operator="equal">
      <formula>"Mandatory"</formula>
    </cfRule>
  </conditionalFormatting>
  <conditionalFormatting sqref="G90">
    <cfRule type="cellIs" dxfId="1123" priority="49" operator="equal">
      <formula>"Not Mandatory"</formula>
    </cfRule>
    <cfRule type="cellIs" dxfId="1122" priority="50" operator="equal">
      <formula>"Recommended"</formula>
    </cfRule>
  </conditionalFormatting>
  <conditionalFormatting sqref="G122">
    <cfRule type="cellIs" dxfId="1121" priority="48" operator="equal">
      <formula>"Mandatory"</formula>
    </cfRule>
  </conditionalFormatting>
  <conditionalFormatting sqref="G122">
    <cfRule type="cellIs" dxfId="1120" priority="46" operator="equal">
      <formula>"Not Mandatory"</formula>
    </cfRule>
    <cfRule type="cellIs" dxfId="1119" priority="47" operator="equal">
      <formula>"Recommended"</formula>
    </cfRule>
  </conditionalFormatting>
  <conditionalFormatting sqref="G119">
    <cfRule type="cellIs" dxfId="1118" priority="45" operator="equal">
      <formula>"Mandatory"</formula>
    </cfRule>
  </conditionalFormatting>
  <conditionalFormatting sqref="G119">
    <cfRule type="cellIs" dxfId="1117" priority="43" operator="equal">
      <formula>"Not Mandatory"</formula>
    </cfRule>
    <cfRule type="cellIs" dxfId="1116" priority="44" operator="equal">
      <formula>"Recommended"</formula>
    </cfRule>
  </conditionalFormatting>
  <conditionalFormatting sqref="G109">
    <cfRule type="cellIs" dxfId="1115" priority="42" operator="equal">
      <formula>"Mandatory"</formula>
    </cfRule>
  </conditionalFormatting>
  <conditionalFormatting sqref="G109">
    <cfRule type="cellIs" dxfId="1114" priority="40" operator="equal">
      <formula>"Not Mandatory"</formula>
    </cfRule>
    <cfRule type="cellIs" dxfId="1113" priority="41" operator="equal">
      <formula>"Recommended"</formula>
    </cfRule>
  </conditionalFormatting>
  <conditionalFormatting sqref="G130">
    <cfRule type="cellIs" dxfId="1112" priority="39" operator="equal">
      <formula>"Mandatory"</formula>
    </cfRule>
  </conditionalFormatting>
  <conditionalFormatting sqref="G130">
    <cfRule type="cellIs" dxfId="1111" priority="37" operator="equal">
      <formula>"Not Mandatory"</formula>
    </cfRule>
    <cfRule type="cellIs" dxfId="1110" priority="38" operator="equal">
      <formula>"Recommended"</formula>
    </cfRule>
  </conditionalFormatting>
  <conditionalFormatting sqref="G125">
    <cfRule type="cellIs" dxfId="1109" priority="36" operator="equal">
      <formula>"Mandatory"</formula>
    </cfRule>
  </conditionalFormatting>
  <conditionalFormatting sqref="G125">
    <cfRule type="cellIs" dxfId="1108" priority="34" operator="equal">
      <formula>"Not Mandatory"</formula>
    </cfRule>
    <cfRule type="cellIs" dxfId="1107" priority="35" operator="equal">
      <formula>"Recommended"</formula>
    </cfRule>
  </conditionalFormatting>
  <conditionalFormatting sqref="G127:G129">
    <cfRule type="cellIs" dxfId="1106" priority="33" operator="equal">
      <formula>"Mandatory"</formula>
    </cfRule>
  </conditionalFormatting>
  <conditionalFormatting sqref="G127:G129">
    <cfRule type="cellIs" dxfId="1105" priority="31" operator="equal">
      <formula>"Not Mandatory"</formula>
    </cfRule>
    <cfRule type="cellIs" dxfId="1104" priority="32" operator="equal">
      <formula>"Recommended"</formula>
    </cfRule>
  </conditionalFormatting>
  <conditionalFormatting sqref="G135:G136">
    <cfRule type="cellIs" dxfId="1103" priority="30" operator="equal">
      <formula>"Mandatory"</formula>
    </cfRule>
  </conditionalFormatting>
  <conditionalFormatting sqref="G135:G136">
    <cfRule type="cellIs" dxfId="1102" priority="28" operator="equal">
      <formula>"Not Mandatory"</formula>
    </cfRule>
    <cfRule type="cellIs" dxfId="1101" priority="29" operator="equal">
      <formula>"Recommended"</formula>
    </cfRule>
  </conditionalFormatting>
  <conditionalFormatting sqref="G154">
    <cfRule type="cellIs" dxfId="1100" priority="27" operator="equal">
      <formula>"Mandatory"</formula>
    </cfRule>
  </conditionalFormatting>
  <conditionalFormatting sqref="G154">
    <cfRule type="cellIs" dxfId="1099" priority="25" operator="equal">
      <formula>"Not Mandatory"</formula>
    </cfRule>
    <cfRule type="cellIs" dxfId="1098" priority="26" operator="equal">
      <formula>"Recommended"</formula>
    </cfRule>
  </conditionalFormatting>
  <conditionalFormatting sqref="G162">
    <cfRule type="cellIs" dxfId="1097" priority="24" operator="equal">
      <formula>"Mandatory"</formula>
    </cfRule>
  </conditionalFormatting>
  <conditionalFormatting sqref="G162">
    <cfRule type="cellIs" dxfId="1096" priority="22" operator="equal">
      <formula>"Not Mandatory"</formula>
    </cfRule>
    <cfRule type="cellIs" dxfId="1095" priority="23" operator="equal">
      <formula>"Recommended"</formula>
    </cfRule>
  </conditionalFormatting>
  <conditionalFormatting sqref="H124:H130">
    <cfRule type="cellIs" dxfId="1094" priority="21" operator="equal">
      <formula>"Mandatory"</formula>
    </cfRule>
  </conditionalFormatting>
  <conditionalFormatting sqref="H124:H130">
    <cfRule type="cellIs" dxfId="1093" priority="19" operator="equal">
      <formula>"Recommended"</formula>
    </cfRule>
    <cfRule type="cellIs" dxfId="1092" priority="20" operator="equal">
      <formula>"Optional"</formula>
    </cfRule>
  </conditionalFormatting>
  <conditionalFormatting sqref="H124:H130">
    <cfRule type="cellIs" dxfId="1091" priority="18" operator="equal">
      <formula>"Undecided"</formula>
    </cfRule>
  </conditionalFormatting>
  <conditionalFormatting sqref="G66">
    <cfRule type="cellIs" dxfId="1090" priority="17" operator="equal">
      <formula>"Mandatory"</formula>
    </cfRule>
  </conditionalFormatting>
  <conditionalFormatting sqref="G66">
    <cfRule type="cellIs" dxfId="1089" priority="15" operator="equal">
      <formula>"Not Mandatory"</formula>
    </cfRule>
    <cfRule type="cellIs" dxfId="1088" priority="16" operator="equal">
      <formula>"Recommended"</formula>
    </cfRule>
  </conditionalFormatting>
  <conditionalFormatting sqref="G66">
    <cfRule type="cellIs" dxfId="1087" priority="13" operator="equal">
      <formula>"Not Mandatory"</formula>
    </cfRule>
    <cfRule type="cellIs" dxfId="1086" priority="14" operator="equal">
      <formula>"Recommended"</formula>
    </cfRule>
  </conditionalFormatting>
  <conditionalFormatting sqref="G66">
    <cfRule type="cellIs" dxfId="1085" priority="11" operator="equal">
      <formula>"Not Mandatory"</formula>
    </cfRule>
    <cfRule type="cellIs" dxfId="1084" priority="12" operator="equal">
      <formula>"Recommended"</formula>
    </cfRule>
  </conditionalFormatting>
  <conditionalFormatting sqref="G39">
    <cfRule type="cellIs" dxfId="1083" priority="10" operator="equal">
      <formula>"Mandatory"</formula>
    </cfRule>
  </conditionalFormatting>
  <conditionalFormatting sqref="G39">
    <cfRule type="cellIs" dxfId="1082" priority="8" operator="equal">
      <formula>"Not Mandatory"</formula>
    </cfRule>
    <cfRule type="cellIs" dxfId="1081" priority="9" operator="equal">
      <formula>"Recommended"</formula>
    </cfRule>
  </conditionalFormatting>
  <conditionalFormatting sqref="G39">
    <cfRule type="cellIs" dxfId="1080" priority="6" operator="equal">
      <formula>"Not Mandatory"</formula>
    </cfRule>
    <cfRule type="cellIs" dxfId="1079" priority="7" operator="equal">
      <formula>"Recommended"</formula>
    </cfRule>
  </conditionalFormatting>
  <conditionalFormatting sqref="G39">
    <cfRule type="cellIs" dxfId="1078" priority="4" operator="equal">
      <formula>"Not Mandatory"</formula>
    </cfRule>
    <cfRule type="cellIs" dxfId="1077" priority="5" operator="equal">
      <formula>"Recommended"</formula>
    </cfRule>
  </conditionalFormatting>
  <conditionalFormatting sqref="J4:J213">
    <cfRule type="cellIs" dxfId="1076" priority="1" operator="equal">
      <formula>FALSE</formula>
    </cfRule>
    <cfRule type="cellIs" dxfId="1075" priority="2" operator="equal">
      <formula>"""FALSE"""</formula>
    </cfRule>
    <cfRule type="cellIs" dxfId="1074" priority="3" operator="equal">
      <formula>"""FALSE"""</formula>
    </cfRule>
  </conditionalFormatting>
  <dataValidations disablePrompts="1" count="1">
    <dataValidation type="list" allowBlank="1" showInputMessage="1" showErrorMessage="1" sqref="F4:F213" xr:uid="{D57702A1-DAB4-4D09-BE8A-C4A190541EB5}">
      <formula1>$F$1:$F$2</formula1>
    </dataValidation>
  </dataValidations>
  <pageMargins left="0.7" right="0.7" top="0.75" bottom="0.75" header="0.3" footer="0.3"/>
  <pageSetup paperSize="66" scale="3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6DEFE-DD72-4455-8A2C-87348EDF2503}">
  <sheetPr codeName="Sheet3">
    <pageSetUpPr fitToPage="1"/>
  </sheetPr>
  <dimension ref="A1:J232"/>
  <sheetViews>
    <sheetView zoomScale="55" zoomScaleNormal="55" zoomScaleSheetLayoutView="50" workbookViewId="0">
      <pane xSplit="1" ySplit="6" topLeftCell="B39"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56" t="s">
        <v>54</v>
      </c>
      <c r="D4" s="50"/>
      <c r="E4" s="50"/>
      <c r="F4" s="18" t="s">
        <v>26</v>
      </c>
      <c r="G4" s="201">
        <v>45217.385381944441</v>
      </c>
      <c r="H4" s="162"/>
      <c r="J4" s="2" t="b">
        <f>EXACT(G4,'Vh5205_C-85'!G4)</f>
        <v>0</v>
      </c>
    </row>
    <row r="5" spans="1:10" x14ac:dyDescent="0.35">
      <c r="A5" s="90">
        <v>2</v>
      </c>
      <c r="B5" s="10" t="s">
        <v>685</v>
      </c>
      <c r="C5" s="156" t="s">
        <v>55</v>
      </c>
      <c r="D5" s="50"/>
      <c r="E5" s="50"/>
      <c r="F5" s="19" t="s">
        <v>26</v>
      </c>
      <c r="G5" s="202">
        <v>45259.510381944441</v>
      </c>
      <c r="H5" s="58"/>
      <c r="J5" s="2" t="b">
        <f>EXACT(G5,'Vh5205_C-85'!G5)</f>
        <v>0</v>
      </c>
    </row>
    <row r="6" spans="1:10" x14ac:dyDescent="0.35">
      <c r="A6" s="90">
        <v>3</v>
      </c>
      <c r="B6" s="146" t="s">
        <v>685</v>
      </c>
      <c r="C6" s="50" t="s">
        <v>41</v>
      </c>
      <c r="D6" s="50"/>
      <c r="E6" s="50"/>
      <c r="F6" s="19" t="s">
        <v>26</v>
      </c>
      <c r="G6" s="161" t="s">
        <v>510</v>
      </c>
      <c r="H6" s="58"/>
      <c r="J6" s="2" t="b">
        <f>EXACT(G6,'Vh5205_C-85'!G6)</f>
        <v>0</v>
      </c>
    </row>
    <row r="7" spans="1:10" x14ac:dyDescent="0.35">
      <c r="A7" s="90">
        <v>4</v>
      </c>
      <c r="B7" s="146" t="s">
        <v>685</v>
      </c>
      <c r="C7" s="50" t="s">
        <v>7</v>
      </c>
      <c r="D7" s="50"/>
      <c r="E7" s="50"/>
      <c r="F7" s="19" t="s">
        <v>79</v>
      </c>
      <c r="G7" s="192" t="s">
        <v>499</v>
      </c>
      <c r="H7" s="53" t="s">
        <v>652</v>
      </c>
      <c r="J7" s="176" t="b">
        <f>EXACT(G7,'Vh5205_C-85'!G7)</f>
        <v>1</v>
      </c>
    </row>
    <row r="8" spans="1:10" x14ac:dyDescent="0.35">
      <c r="A8" s="90">
        <v>5</v>
      </c>
      <c r="B8" s="87" t="s">
        <v>685</v>
      </c>
      <c r="C8" s="87" t="s">
        <v>39</v>
      </c>
      <c r="D8" s="87"/>
      <c r="E8" s="87"/>
      <c r="F8" s="22" t="s">
        <v>79</v>
      </c>
      <c r="G8" s="194" t="s">
        <v>524</v>
      </c>
      <c r="H8" s="181" t="s">
        <v>652</v>
      </c>
      <c r="J8" s="176" t="b">
        <f>EXACT(G8,'Vh5205_C-85'!G8)</f>
        <v>1</v>
      </c>
    </row>
    <row r="9" spans="1:10" x14ac:dyDescent="0.35">
      <c r="A9" s="90">
        <v>6</v>
      </c>
      <c r="B9" s="10" t="s">
        <v>686</v>
      </c>
      <c r="C9" s="156" t="s">
        <v>301</v>
      </c>
      <c r="D9" s="156"/>
      <c r="E9" s="156"/>
      <c r="F9" s="19" t="s">
        <v>26</v>
      </c>
      <c r="G9" s="192" t="s">
        <v>196</v>
      </c>
      <c r="H9" s="163" t="s">
        <v>652</v>
      </c>
      <c r="J9" s="176" t="b">
        <f>EXACT(G9,'Vh5205_C-85'!G9)</f>
        <v>1</v>
      </c>
    </row>
    <row r="10" spans="1:10" x14ac:dyDescent="0.35">
      <c r="A10" s="90">
        <v>7</v>
      </c>
      <c r="B10" s="10" t="s">
        <v>686</v>
      </c>
      <c r="C10" s="156" t="s">
        <v>302</v>
      </c>
      <c r="D10" s="157"/>
      <c r="E10" s="50"/>
      <c r="F10" s="19" t="s">
        <v>26</v>
      </c>
      <c r="G10" s="161" t="s">
        <v>523</v>
      </c>
      <c r="H10" s="140" t="s">
        <v>652</v>
      </c>
      <c r="J10" s="176" t="b">
        <f>EXACT(G10,'Vh5205_C-85'!G10)</f>
        <v>1</v>
      </c>
    </row>
    <row r="11" spans="1:10" x14ac:dyDescent="0.35">
      <c r="A11" s="90">
        <v>8</v>
      </c>
      <c r="B11" s="146" t="s">
        <v>686</v>
      </c>
      <c r="C11" s="50" t="s">
        <v>134</v>
      </c>
      <c r="D11" s="50" t="s">
        <v>15</v>
      </c>
      <c r="E11" s="146" t="s">
        <v>85</v>
      </c>
      <c r="F11" s="19" t="s">
        <v>26</v>
      </c>
      <c r="G11" s="192" t="s">
        <v>197</v>
      </c>
      <c r="H11" s="53" t="s">
        <v>652</v>
      </c>
      <c r="J11" s="176" t="b">
        <f>EXACT(G11,'Vh5205_C-85'!G11)</f>
        <v>1</v>
      </c>
    </row>
    <row r="12" spans="1:10" x14ac:dyDescent="0.35">
      <c r="A12" s="90">
        <v>9</v>
      </c>
      <c r="B12" s="10" t="s">
        <v>686</v>
      </c>
      <c r="C12" s="156" t="s">
        <v>310</v>
      </c>
      <c r="D12" s="50"/>
      <c r="E12" s="50"/>
      <c r="F12" s="19" t="s">
        <v>26</v>
      </c>
      <c r="G12" s="192" t="s">
        <v>198</v>
      </c>
      <c r="H12" s="53" t="s">
        <v>652</v>
      </c>
      <c r="J12" s="176" t="b">
        <f>EXACT(G12,'Vh5205_C-85'!G12)</f>
        <v>1</v>
      </c>
    </row>
    <row r="13" spans="1:10" x14ac:dyDescent="0.35">
      <c r="A13" s="90">
        <v>10</v>
      </c>
      <c r="B13" s="10" t="s">
        <v>686</v>
      </c>
      <c r="C13" s="156" t="s">
        <v>311</v>
      </c>
      <c r="D13" s="50"/>
      <c r="E13" s="50"/>
      <c r="F13" s="19" t="s">
        <v>26</v>
      </c>
      <c r="G13" s="192" t="s">
        <v>199</v>
      </c>
      <c r="H13" s="53" t="s">
        <v>652</v>
      </c>
      <c r="J13" s="176" t="b">
        <f>EXACT(G13,'Vh5205_C-85'!G13)</f>
        <v>1</v>
      </c>
    </row>
    <row r="14" spans="1:10" ht="17.5" x14ac:dyDescent="0.35">
      <c r="A14" s="90">
        <v>11</v>
      </c>
      <c r="B14" s="10" t="s">
        <v>686</v>
      </c>
      <c r="C14" s="156" t="s">
        <v>123</v>
      </c>
      <c r="D14" s="50" t="s">
        <v>557</v>
      </c>
      <c r="E14" s="50" t="s">
        <v>4</v>
      </c>
      <c r="F14" s="19" t="s">
        <v>26</v>
      </c>
      <c r="G14" s="161">
        <v>140</v>
      </c>
      <c r="H14" s="140"/>
      <c r="J14" s="1" t="b">
        <f>EXACT(G14,'Vh5205_C-85'!G14)</f>
        <v>1</v>
      </c>
    </row>
    <row r="15" spans="1:10" x14ac:dyDescent="0.35">
      <c r="A15" s="90">
        <v>12</v>
      </c>
      <c r="B15" s="146" t="s">
        <v>686</v>
      </c>
      <c r="C15" s="50" t="s">
        <v>116</v>
      </c>
      <c r="D15" s="50"/>
      <c r="E15" s="50"/>
      <c r="F15" s="19" t="s">
        <v>26</v>
      </c>
      <c r="G15" s="161" t="s">
        <v>684</v>
      </c>
      <c r="H15" s="53" t="s">
        <v>652</v>
      </c>
      <c r="J15" s="176" t="b">
        <f>EXACT(G15,'Vh5205_C-85'!G15)</f>
        <v>1</v>
      </c>
    </row>
    <row r="16" spans="1:10" x14ac:dyDescent="0.35">
      <c r="A16" s="90">
        <v>13</v>
      </c>
      <c r="B16" s="10" t="s">
        <v>686</v>
      </c>
      <c r="C16" s="156" t="s">
        <v>408</v>
      </c>
      <c r="D16" s="50"/>
      <c r="E16" s="50"/>
      <c r="F16" s="19" t="s">
        <v>26</v>
      </c>
      <c r="G16" s="161" t="s">
        <v>520</v>
      </c>
      <c r="H16" s="140"/>
      <c r="J16" s="1" t="b">
        <f>EXACT(G16,'Vh5205_C-85'!G16)</f>
        <v>1</v>
      </c>
    </row>
    <row r="17" spans="1:10" x14ac:dyDescent="0.35">
      <c r="A17" s="90">
        <v>14</v>
      </c>
      <c r="B17" s="10" t="s">
        <v>686</v>
      </c>
      <c r="C17" s="156" t="s">
        <v>409</v>
      </c>
      <c r="D17" s="50"/>
      <c r="E17" s="50"/>
      <c r="F17" s="19" t="s">
        <v>26</v>
      </c>
      <c r="G17" s="161" t="s">
        <v>521</v>
      </c>
      <c r="H17" s="140"/>
      <c r="J17" s="1" t="b">
        <f>EXACT(G17,'Vh5205_C-85'!G17)</f>
        <v>1</v>
      </c>
    </row>
    <row r="18" spans="1:10" s="7" customFormat="1" x14ac:dyDescent="0.35">
      <c r="A18" s="90">
        <v>15</v>
      </c>
      <c r="B18" s="146" t="s">
        <v>686</v>
      </c>
      <c r="C18" s="50" t="s">
        <v>177</v>
      </c>
      <c r="D18" s="50"/>
      <c r="E18" s="50"/>
      <c r="F18" s="19" t="s">
        <v>26</v>
      </c>
      <c r="G18" s="161" t="s">
        <v>277</v>
      </c>
      <c r="H18" s="177"/>
      <c r="J18" s="1" t="b">
        <f>EXACT(G18,'Vh5205_C-85'!G18)</f>
        <v>1</v>
      </c>
    </row>
    <row r="19" spans="1:10" x14ac:dyDescent="0.35">
      <c r="A19" s="90">
        <v>16</v>
      </c>
      <c r="B19" s="10" t="s">
        <v>686</v>
      </c>
      <c r="C19" s="156" t="s">
        <v>124</v>
      </c>
      <c r="D19" s="50"/>
      <c r="E19" s="50" t="s">
        <v>0</v>
      </c>
      <c r="F19" s="19" t="s">
        <v>79</v>
      </c>
      <c r="G19" s="203"/>
      <c r="H19" s="140"/>
      <c r="J19" s="1" t="b">
        <f>EXACT(G19,'Vh5205_C-85'!G19)</f>
        <v>1</v>
      </c>
    </row>
    <row r="20" spans="1:10" x14ac:dyDescent="0.35">
      <c r="A20" s="90">
        <v>17</v>
      </c>
      <c r="B20" s="10" t="s">
        <v>686</v>
      </c>
      <c r="C20" s="156" t="s">
        <v>188</v>
      </c>
      <c r="D20" s="50"/>
      <c r="E20" s="50" t="s">
        <v>0</v>
      </c>
      <c r="F20" s="19" t="s">
        <v>26</v>
      </c>
      <c r="G20" s="193" t="s">
        <v>618</v>
      </c>
      <c r="H20" s="140" t="s">
        <v>652</v>
      </c>
      <c r="J20" s="176" t="b">
        <f>EXACT(G20,'Vh5205_C-85'!G20)</f>
        <v>1</v>
      </c>
    </row>
    <row r="21" spans="1:10" x14ac:dyDescent="0.35">
      <c r="A21" s="90">
        <v>18</v>
      </c>
      <c r="B21" s="13" t="s">
        <v>686</v>
      </c>
      <c r="C21" s="13" t="s">
        <v>131</v>
      </c>
      <c r="D21" s="87"/>
      <c r="E21" s="87"/>
      <c r="F21" s="22" t="s">
        <v>79</v>
      </c>
      <c r="G21" s="196"/>
      <c r="H21" s="182"/>
      <c r="J21" s="1" t="b">
        <f>EXACT(G21,'Vh5205_C-85'!G21)</f>
        <v>1</v>
      </c>
    </row>
    <row r="22" spans="1:10" x14ac:dyDescent="0.35">
      <c r="A22" s="90">
        <v>19</v>
      </c>
      <c r="B22" s="146" t="s">
        <v>687</v>
      </c>
      <c r="C22" s="50" t="s">
        <v>65</v>
      </c>
      <c r="D22" s="50"/>
      <c r="E22" s="50"/>
      <c r="F22" s="19" t="s">
        <v>79</v>
      </c>
      <c r="G22" s="192" t="s">
        <v>48</v>
      </c>
      <c r="H22" s="53" t="s">
        <v>652</v>
      </c>
      <c r="J22" s="176" t="b">
        <f>EXACT(G22,'Vh5205_C-85'!G22)</f>
        <v>1</v>
      </c>
    </row>
    <row r="23" spans="1:10" x14ac:dyDescent="0.35">
      <c r="A23" s="90">
        <v>20</v>
      </c>
      <c r="B23" s="146" t="s">
        <v>687</v>
      </c>
      <c r="C23" s="50" t="s">
        <v>69</v>
      </c>
      <c r="D23" s="50"/>
      <c r="E23" s="50"/>
      <c r="F23" s="19" t="s">
        <v>79</v>
      </c>
      <c r="G23" s="161"/>
      <c r="H23" s="140"/>
      <c r="J23" s="1" t="b">
        <f>EXACT(G23,'Vh5205_C-85'!G23)</f>
        <v>1</v>
      </c>
    </row>
    <row r="24" spans="1:10" x14ac:dyDescent="0.35">
      <c r="A24" s="90">
        <v>21</v>
      </c>
      <c r="B24" s="146" t="s">
        <v>687</v>
      </c>
      <c r="C24" s="50" t="s">
        <v>70</v>
      </c>
      <c r="D24" s="50"/>
      <c r="E24" s="50"/>
      <c r="F24" s="19" t="s">
        <v>79</v>
      </c>
      <c r="G24" s="161"/>
      <c r="H24" s="140"/>
      <c r="J24" s="1" t="b">
        <f>EXACT(G24,'Vh5205_C-85'!G24)</f>
        <v>1</v>
      </c>
    </row>
    <row r="25" spans="1:10" x14ac:dyDescent="0.35">
      <c r="A25" s="90">
        <v>22</v>
      </c>
      <c r="B25" s="146" t="s">
        <v>687</v>
      </c>
      <c r="C25" s="50" t="s">
        <v>71</v>
      </c>
      <c r="D25" s="50"/>
      <c r="E25" s="50"/>
      <c r="F25" s="19" t="s">
        <v>79</v>
      </c>
      <c r="G25" s="161"/>
      <c r="H25" s="140"/>
      <c r="J25" s="1" t="b">
        <f>EXACT(G25,'Vh5205_C-85'!G25)</f>
        <v>1</v>
      </c>
    </row>
    <row r="26" spans="1:10" x14ac:dyDescent="0.35">
      <c r="A26" s="90">
        <v>23</v>
      </c>
      <c r="B26" s="146" t="s">
        <v>687</v>
      </c>
      <c r="C26" s="50" t="s">
        <v>72</v>
      </c>
      <c r="D26" s="50"/>
      <c r="E26" s="50"/>
      <c r="F26" s="19" t="s">
        <v>79</v>
      </c>
      <c r="G26" s="161"/>
      <c r="H26" s="140"/>
      <c r="J26" s="1" t="b">
        <f>EXACT(G26,'Vh5205_C-85'!G26)</f>
        <v>1</v>
      </c>
    </row>
    <row r="27" spans="1:10" x14ac:dyDescent="0.35">
      <c r="A27" s="90">
        <v>24</v>
      </c>
      <c r="B27" s="146" t="s">
        <v>687</v>
      </c>
      <c r="C27" s="50" t="s">
        <v>81</v>
      </c>
      <c r="D27" s="50"/>
      <c r="E27" s="50"/>
      <c r="F27" s="19" t="s">
        <v>79</v>
      </c>
      <c r="G27" s="161"/>
      <c r="H27" s="140"/>
      <c r="J27" s="1" t="b">
        <f>EXACT(G27,'Vh5205_C-85'!G27)</f>
        <v>1</v>
      </c>
    </row>
    <row r="28" spans="1:10" x14ac:dyDescent="0.35">
      <c r="A28" s="90">
        <v>25</v>
      </c>
      <c r="B28" s="146" t="s">
        <v>687</v>
      </c>
      <c r="C28" s="50" t="s">
        <v>82</v>
      </c>
      <c r="D28" s="50"/>
      <c r="E28" s="50"/>
      <c r="F28" s="22" t="s">
        <v>79</v>
      </c>
      <c r="G28" s="196"/>
      <c r="H28" s="182"/>
      <c r="J28" s="1" t="b">
        <f>EXACT(G28,'Vh5205_C-85'!G28)</f>
        <v>1</v>
      </c>
    </row>
    <row r="29" spans="1:10" x14ac:dyDescent="0.35">
      <c r="A29" s="90">
        <v>26</v>
      </c>
      <c r="B29" s="99" t="s">
        <v>688</v>
      </c>
      <c r="C29" s="99" t="s">
        <v>312</v>
      </c>
      <c r="D29" s="100"/>
      <c r="E29" s="100"/>
      <c r="F29" s="18" t="s">
        <v>26</v>
      </c>
      <c r="G29" s="196" t="s">
        <v>200</v>
      </c>
      <c r="H29" s="182" t="s">
        <v>652</v>
      </c>
      <c r="J29" s="176" t="b">
        <f>EXACT(G29,'Vh5205_C-85'!G29)</f>
        <v>1</v>
      </c>
    </row>
    <row r="30" spans="1:10" x14ac:dyDescent="0.35">
      <c r="A30" s="90">
        <v>27</v>
      </c>
      <c r="B30" s="102" t="s">
        <v>689</v>
      </c>
      <c r="C30" s="102" t="s">
        <v>147</v>
      </c>
      <c r="D30" s="100"/>
      <c r="E30" s="100"/>
      <c r="F30" s="18" t="s">
        <v>79</v>
      </c>
      <c r="G30" s="161"/>
      <c r="H30" s="140"/>
      <c r="J30" s="1" t="b">
        <f>EXACT(G30,'Vh5205_C-85'!G30)</f>
        <v>1</v>
      </c>
    </row>
    <row r="31" spans="1:10" s="7" customFormat="1" ht="31" x14ac:dyDescent="0.35">
      <c r="A31" s="90">
        <v>28</v>
      </c>
      <c r="B31" s="10" t="s">
        <v>689</v>
      </c>
      <c r="C31" s="156" t="s">
        <v>324</v>
      </c>
      <c r="D31" s="50"/>
      <c r="E31" s="156"/>
      <c r="F31" s="19" t="s">
        <v>26</v>
      </c>
      <c r="G31" s="161" t="s">
        <v>460</v>
      </c>
      <c r="H31" s="177" t="s">
        <v>652</v>
      </c>
      <c r="J31" s="176" t="b">
        <f>EXACT(G31,'Vh5205_C-85'!G31)</f>
        <v>1</v>
      </c>
    </row>
    <row r="32" spans="1:10" s="7" customFormat="1" x14ac:dyDescent="0.35">
      <c r="A32" s="90">
        <v>29</v>
      </c>
      <c r="B32" s="10" t="s">
        <v>689</v>
      </c>
      <c r="C32" s="156" t="s">
        <v>303</v>
      </c>
      <c r="D32" s="50"/>
      <c r="E32" s="156"/>
      <c r="F32" s="19" t="s">
        <v>26</v>
      </c>
      <c r="G32" s="161" t="s">
        <v>461</v>
      </c>
      <c r="H32" s="177" t="s">
        <v>652</v>
      </c>
      <c r="J32" s="176" t="b">
        <f>EXACT(G32,'Vh5205_C-85'!G32)</f>
        <v>1</v>
      </c>
    </row>
    <row r="33" spans="1:10" ht="31" x14ac:dyDescent="0.35">
      <c r="A33" s="90">
        <v>30</v>
      </c>
      <c r="B33" s="10" t="s">
        <v>689</v>
      </c>
      <c r="C33" s="156" t="s">
        <v>304</v>
      </c>
      <c r="D33" s="50"/>
      <c r="E33" s="50"/>
      <c r="F33" s="19" t="s">
        <v>79</v>
      </c>
      <c r="G33" s="161" t="s">
        <v>285</v>
      </c>
      <c r="H33" s="140" t="s">
        <v>652</v>
      </c>
      <c r="J33" s="176" t="b">
        <f>EXACT(G33,'Vh5205_C-85'!G33)</f>
        <v>1</v>
      </c>
    </row>
    <row r="34" spans="1:10" x14ac:dyDescent="0.35">
      <c r="A34" s="90">
        <v>31</v>
      </c>
      <c r="B34" s="10" t="s">
        <v>689</v>
      </c>
      <c r="C34" s="156" t="s">
        <v>83</v>
      </c>
      <c r="D34" s="50"/>
      <c r="E34" s="50" t="s">
        <v>85</v>
      </c>
      <c r="F34" s="19" t="s">
        <v>79</v>
      </c>
      <c r="G34" s="192"/>
      <c r="H34" s="140"/>
      <c r="J34" s="1" t="b">
        <f>EXACT(G34,'Vh5205_C-85'!G34)</f>
        <v>1</v>
      </c>
    </row>
    <row r="35" spans="1:10" x14ac:dyDescent="0.35">
      <c r="A35" s="90">
        <v>32</v>
      </c>
      <c r="B35" s="10" t="s">
        <v>689</v>
      </c>
      <c r="C35" s="156" t="s">
        <v>84</v>
      </c>
      <c r="D35" s="50"/>
      <c r="E35" s="50"/>
      <c r="F35" s="19" t="s">
        <v>79</v>
      </c>
      <c r="G35" s="192"/>
      <c r="H35" s="140"/>
      <c r="J35" s="1" t="b">
        <f>EXACT(G35,'Vh5205_C-85'!G35)</f>
        <v>1</v>
      </c>
    </row>
    <row r="36" spans="1:10" x14ac:dyDescent="0.35">
      <c r="A36" s="90">
        <v>33</v>
      </c>
      <c r="B36" s="10" t="s">
        <v>689</v>
      </c>
      <c r="C36" s="156" t="s">
        <v>61</v>
      </c>
      <c r="D36" s="50"/>
      <c r="E36" s="50"/>
      <c r="F36" s="19" t="s">
        <v>26</v>
      </c>
      <c r="G36" s="192" t="s">
        <v>611</v>
      </c>
      <c r="H36" s="140" t="s">
        <v>652</v>
      </c>
      <c r="J36" s="176" t="b">
        <f>EXACT(G36,'Vh5205_C-85'!G36)</f>
        <v>1</v>
      </c>
    </row>
    <row r="37" spans="1:10" x14ac:dyDescent="0.35">
      <c r="A37" s="90">
        <v>34</v>
      </c>
      <c r="B37" s="13" t="s">
        <v>689</v>
      </c>
      <c r="C37" s="13" t="s">
        <v>56</v>
      </c>
      <c r="D37" s="50"/>
      <c r="E37" s="50"/>
      <c r="F37" s="22" t="s">
        <v>26</v>
      </c>
      <c r="G37" s="194" t="s">
        <v>201</v>
      </c>
      <c r="H37" s="182" t="s">
        <v>652</v>
      </c>
      <c r="J37" s="176" t="b">
        <f>EXACT(G37,'Vh5205_C-85'!G37)</f>
        <v>1</v>
      </c>
    </row>
    <row r="38" spans="1:10" s="7" customFormat="1" x14ac:dyDescent="0.35">
      <c r="A38" s="90">
        <v>35</v>
      </c>
      <c r="B38" s="10" t="s">
        <v>690</v>
      </c>
      <c r="C38" s="156" t="s">
        <v>77</v>
      </c>
      <c r="D38" s="100"/>
      <c r="E38" s="102"/>
      <c r="F38" s="19" t="s">
        <v>26</v>
      </c>
      <c r="G38" s="161" t="s">
        <v>278</v>
      </c>
      <c r="H38" s="177" t="s">
        <v>652</v>
      </c>
      <c r="J38" s="176" t="b">
        <f>EXACT(G38,'Vh5205_C-85'!G38)</f>
        <v>1</v>
      </c>
    </row>
    <row r="39" spans="1:10" s="7" customFormat="1" ht="58" customHeight="1" x14ac:dyDescent="0.35">
      <c r="A39" s="90">
        <v>36</v>
      </c>
      <c r="B39" s="10" t="s">
        <v>690</v>
      </c>
      <c r="C39" s="156" t="s">
        <v>560</v>
      </c>
      <c r="D39" s="50"/>
      <c r="E39" s="156"/>
      <c r="F39" s="19" t="s">
        <v>26</v>
      </c>
      <c r="G39" s="161" t="s">
        <v>716</v>
      </c>
      <c r="H39" s="177" t="s">
        <v>652</v>
      </c>
      <c r="J39" s="176" t="b">
        <f>EXACT(G39,'Vh5205_C-85'!G39)</f>
        <v>1</v>
      </c>
    </row>
    <row r="40" spans="1:10" s="7" customFormat="1" ht="31" x14ac:dyDescent="0.35">
      <c r="A40" s="90">
        <v>37</v>
      </c>
      <c r="B40" s="10" t="s">
        <v>690</v>
      </c>
      <c r="C40" s="156" t="s">
        <v>305</v>
      </c>
      <c r="D40" s="50"/>
      <c r="E40" s="156"/>
      <c r="F40" s="19" t="s">
        <v>26</v>
      </c>
      <c r="G40" s="161" t="s">
        <v>619</v>
      </c>
      <c r="H40" s="177" t="s">
        <v>652</v>
      </c>
      <c r="J40" s="176" t="b">
        <f>EXACT(G40,'Vh5205_C-85'!G40)</f>
        <v>1</v>
      </c>
    </row>
    <row r="41" spans="1:10" s="7" customFormat="1" x14ac:dyDescent="0.35">
      <c r="A41" s="90">
        <v>38</v>
      </c>
      <c r="B41" s="10" t="s">
        <v>690</v>
      </c>
      <c r="C41" s="156" t="s">
        <v>128</v>
      </c>
      <c r="D41" s="50"/>
      <c r="E41" s="156"/>
      <c r="F41" s="19" t="s">
        <v>26</v>
      </c>
      <c r="G41" s="195">
        <v>35458</v>
      </c>
      <c r="H41" s="177" t="s">
        <v>652</v>
      </c>
      <c r="J41" s="176" t="b">
        <f>EXACT(G41,'Vh5205_C-85'!G41)</f>
        <v>1</v>
      </c>
    </row>
    <row r="42" spans="1:10" s="7" customFormat="1" x14ac:dyDescent="0.35">
      <c r="A42" s="90">
        <v>39</v>
      </c>
      <c r="B42" s="10" t="s">
        <v>690</v>
      </c>
      <c r="C42" s="156" t="s">
        <v>129</v>
      </c>
      <c r="D42" s="50"/>
      <c r="E42" s="156"/>
      <c r="F42" s="19" t="s">
        <v>79</v>
      </c>
      <c r="G42" s="192"/>
      <c r="H42" s="177" t="s">
        <v>652</v>
      </c>
      <c r="J42" s="176" t="b">
        <f>EXACT(G42,'Vh5205_C-85'!G42)</f>
        <v>1</v>
      </c>
    </row>
    <row r="43" spans="1:10" s="7" customFormat="1" x14ac:dyDescent="0.35">
      <c r="A43" s="90">
        <v>40</v>
      </c>
      <c r="B43" s="13" t="s">
        <v>690</v>
      </c>
      <c r="C43" s="13" t="s">
        <v>130</v>
      </c>
      <c r="D43" s="87"/>
      <c r="E43" s="13"/>
      <c r="F43" s="22" t="s">
        <v>79</v>
      </c>
      <c r="G43" s="194"/>
      <c r="H43" s="180" t="s">
        <v>652</v>
      </c>
      <c r="J43" s="176" t="b">
        <f>EXACT(G43,'Vh5205_C-85'!G43)</f>
        <v>1</v>
      </c>
    </row>
    <row r="44" spans="1:10" x14ac:dyDescent="0.35">
      <c r="A44" s="90">
        <v>41</v>
      </c>
      <c r="B44" s="102" t="s">
        <v>691</v>
      </c>
      <c r="C44" s="102" t="s">
        <v>117</v>
      </c>
      <c r="D44" s="100"/>
      <c r="E44" s="100"/>
      <c r="F44" s="18" t="s">
        <v>26</v>
      </c>
      <c r="G44" s="161" t="s">
        <v>462</v>
      </c>
      <c r="H44" s="177" t="s">
        <v>652</v>
      </c>
      <c r="J44" s="176" t="b">
        <f>EXACT(G44,'Vh5205_C-85'!G44)</f>
        <v>1</v>
      </c>
    </row>
    <row r="45" spans="1:10" s="7" customFormat="1" x14ac:dyDescent="0.35">
      <c r="A45" s="90">
        <v>42</v>
      </c>
      <c r="B45" s="10" t="s">
        <v>691</v>
      </c>
      <c r="C45" s="156" t="s">
        <v>87</v>
      </c>
      <c r="D45" s="50"/>
      <c r="E45" s="156"/>
      <c r="F45" s="19" t="s">
        <v>79</v>
      </c>
      <c r="G45" s="192" t="s">
        <v>196</v>
      </c>
      <c r="H45" s="177" t="s">
        <v>652</v>
      </c>
      <c r="J45" s="176" t="b">
        <f>EXACT(G45,'Vh5205_C-85'!G45)</f>
        <v>1</v>
      </c>
    </row>
    <row r="46" spans="1:10" s="7" customFormat="1" x14ac:dyDescent="0.35">
      <c r="A46" s="90">
        <v>43</v>
      </c>
      <c r="B46" s="10" t="s">
        <v>691</v>
      </c>
      <c r="C46" s="156" t="s">
        <v>88</v>
      </c>
      <c r="D46" s="50"/>
      <c r="E46" s="156"/>
      <c r="F46" s="19" t="s">
        <v>79</v>
      </c>
      <c r="G46" s="192" t="s">
        <v>196</v>
      </c>
      <c r="H46" s="177" t="s">
        <v>652</v>
      </c>
      <c r="J46" s="176" t="b">
        <f>EXACT(G46,'Vh5205_C-85'!G46)</f>
        <v>1</v>
      </c>
    </row>
    <row r="47" spans="1:10" s="7" customFormat="1" x14ac:dyDescent="0.35">
      <c r="A47" s="90">
        <v>44</v>
      </c>
      <c r="B47" s="10" t="s">
        <v>691</v>
      </c>
      <c r="C47" s="156" t="s">
        <v>60</v>
      </c>
      <c r="D47" s="50"/>
      <c r="E47" s="156"/>
      <c r="F47" s="19" t="s">
        <v>79</v>
      </c>
      <c r="G47" s="192" t="s">
        <v>500</v>
      </c>
      <c r="H47" s="177" t="s">
        <v>652</v>
      </c>
      <c r="J47" s="176" t="b">
        <f>EXACT(G47,'Vh5205_C-85'!G47)</f>
        <v>1</v>
      </c>
    </row>
    <row r="48" spans="1:10" x14ac:dyDescent="0.35">
      <c r="A48" s="90">
        <v>45</v>
      </c>
      <c r="B48" s="10" t="s">
        <v>691</v>
      </c>
      <c r="C48" s="156" t="s">
        <v>90</v>
      </c>
      <c r="D48" s="50"/>
      <c r="E48" s="50"/>
      <c r="F48" s="19" t="s">
        <v>26</v>
      </c>
      <c r="G48" s="161" t="s">
        <v>649</v>
      </c>
      <c r="H48" s="177" t="s">
        <v>652</v>
      </c>
      <c r="J48" s="176" t="b">
        <f>EXACT(G48,'Vh5205_C-85'!G48)</f>
        <v>1</v>
      </c>
    </row>
    <row r="49" spans="1:10" x14ac:dyDescent="0.35">
      <c r="A49" s="90">
        <v>46</v>
      </c>
      <c r="B49" s="10" t="s">
        <v>691</v>
      </c>
      <c r="C49" s="156" t="s">
        <v>91</v>
      </c>
      <c r="D49" s="50"/>
      <c r="E49" s="50"/>
      <c r="F49" s="19" t="s">
        <v>26</v>
      </c>
      <c r="G49" s="161" t="s">
        <v>649</v>
      </c>
      <c r="H49" s="177" t="s">
        <v>652</v>
      </c>
      <c r="J49" s="176" t="b">
        <f>EXACT(G49,'Vh5205_C-85'!G49)</f>
        <v>1</v>
      </c>
    </row>
    <row r="50" spans="1:10" x14ac:dyDescent="0.35">
      <c r="A50" s="90">
        <v>47</v>
      </c>
      <c r="B50" s="13" t="s">
        <v>691</v>
      </c>
      <c r="C50" s="13" t="s">
        <v>86</v>
      </c>
      <c r="D50" s="87"/>
      <c r="E50" s="87"/>
      <c r="F50" s="22" t="s">
        <v>79</v>
      </c>
      <c r="G50" s="194"/>
      <c r="H50" s="180"/>
      <c r="J50" s="1" t="b">
        <f>EXACT(G50,'Vh5205_C-85'!G50)</f>
        <v>1</v>
      </c>
    </row>
    <row r="51" spans="1:10" s="7" customFormat="1" x14ac:dyDescent="0.35">
      <c r="A51" s="90">
        <v>48</v>
      </c>
      <c r="B51" s="10" t="s">
        <v>692</v>
      </c>
      <c r="C51" s="156" t="s">
        <v>95</v>
      </c>
      <c r="D51" s="50"/>
      <c r="E51" s="156" t="s">
        <v>92</v>
      </c>
      <c r="F51" s="19" t="s">
        <v>26</v>
      </c>
      <c r="G51" s="161" t="s">
        <v>680</v>
      </c>
      <c r="H51" s="177" t="s">
        <v>652</v>
      </c>
      <c r="J51" s="176" t="b">
        <f>EXACT(G51,'Vh5205_C-85'!G51)</f>
        <v>1</v>
      </c>
    </row>
    <row r="52" spans="1:10" s="7" customFormat="1" x14ac:dyDescent="0.35">
      <c r="A52" s="90">
        <v>49</v>
      </c>
      <c r="B52" s="10" t="s">
        <v>692</v>
      </c>
      <c r="C52" s="156" t="s">
        <v>96</v>
      </c>
      <c r="D52" s="50"/>
      <c r="E52" s="156" t="s">
        <v>92</v>
      </c>
      <c r="F52" s="19" t="s">
        <v>26</v>
      </c>
      <c r="G52" s="161" t="s">
        <v>681</v>
      </c>
      <c r="H52" s="177" t="s">
        <v>652</v>
      </c>
      <c r="J52" s="176" t="b">
        <f>EXACT(G52,'Vh5205_C-85'!G52)</f>
        <v>1</v>
      </c>
    </row>
    <row r="53" spans="1:10" s="7" customFormat="1" x14ac:dyDescent="0.35">
      <c r="A53" s="90">
        <v>50</v>
      </c>
      <c r="B53" s="10" t="s">
        <v>692</v>
      </c>
      <c r="C53" s="156" t="s">
        <v>149</v>
      </c>
      <c r="D53" s="50"/>
      <c r="E53" s="156"/>
      <c r="F53" s="19" t="s">
        <v>26</v>
      </c>
      <c r="G53" s="161" t="s">
        <v>681</v>
      </c>
      <c r="H53" s="177" t="s">
        <v>652</v>
      </c>
      <c r="J53" s="176" t="b">
        <f>EXACT(G53,'Vh5205_C-85'!G53)</f>
        <v>1</v>
      </c>
    </row>
    <row r="54" spans="1:10" s="7" customFormat="1" x14ac:dyDescent="0.35">
      <c r="A54" s="90">
        <v>51</v>
      </c>
      <c r="B54" s="10" t="s">
        <v>692</v>
      </c>
      <c r="C54" s="156" t="s">
        <v>148</v>
      </c>
      <c r="D54" s="156"/>
      <c r="E54" s="156"/>
      <c r="F54" s="19" t="s">
        <v>79</v>
      </c>
      <c r="G54" s="161" t="s">
        <v>467</v>
      </c>
      <c r="H54" s="177" t="s">
        <v>652</v>
      </c>
      <c r="J54" s="176" t="b">
        <f>EXACT(G54,'Vh5205_C-85'!G54)</f>
        <v>1</v>
      </c>
    </row>
    <row r="55" spans="1:10" s="7" customFormat="1" x14ac:dyDescent="0.35">
      <c r="A55" s="90">
        <v>52</v>
      </c>
      <c r="B55" s="10" t="s">
        <v>692</v>
      </c>
      <c r="C55" s="156" t="s">
        <v>100</v>
      </c>
      <c r="D55" s="50"/>
      <c r="E55" s="156"/>
      <c r="F55" s="19" t="s">
        <v>79</v>
      </c>
      <c r="G55" s="192"/>
      <c r="H55" s="177"/>
      <c r="J55" s="1" t="b">
        <f>EXACT(G55,'Vh5205_C-85'!G55)</f>
        <v>1</v>
      </c>
    </row>
    <row r="56" spans="1:10" s="7" customFormat="1" x14ac:dyDescent="0.35">
      <c r="A56" s="90">
        <v>53</v>
      </c>
      <c r="B56" s="13" t="s">
        <v>692</v>
      </c>
      <c r="C56" s="13" t="s">
        <v>101</v>
      </c>
      <c r="D56" s="87"/>
      <c r="E56" s="13"/>
      <c r="F56" s="22" t="s">
        <v>79</v>
      </c>
      <c r="G56" s="194"/>
      <c r="H56" s="180"/>
      <c r="J56" s="1" t="b">
        <f>EXACT(G56,'Vh5205_C-85'!G56)</f>
        <v>1</v>
      </c>
    </row>
    <row r="57" spans="1:10" s="7" customFormat="1" x14ac:dyDescent="0.35">
      <c r="A57" s="90">
        <v>54</v>
      </c>
      <c r="B57" s="102" t="s">
        <v>693</v>
      </c>
      <c r="C57" s="102" t="s">
        <v>93</v>
      </c>
      <c r="D57" s="50"/>
      <c r="E57" s="156"/>
      <c r="F57" s="19" t="s">
        <v>26</v>
      </c>
      <c r="G57" s="161" t="s">
        <v>483</v>
      </c>
      <c r="H57" s="177" t="s">
        <v>652</v>
      </c>
      <c r="J57" s="176" t="b">
        <f>EXACT(G57,'Vh5205_C-85'!G57)</f>
        <v>1</v>
      </c>
    </row>
    <row r="58" spans="1:10" s="7" customFormat="1" x14ac:dyDescent="0.35">
      <c r="A58" s="90">
        <v>55</v>
      </c>
      <c r="B58" s="10" t="s">
        <v>693</v>
      </c>
      <c r="C58" s="156" t="s">
        <v>104</v>
      </c>
      <c r="D58" s="50"/>
      <c r="E58" s="156" t="s">
        <v>51</v>
      </c>
      <c r="F58" s="19" t="s">
        <v>26</v>
      </c>
      <c r="G58" s="161" t="s">
        <v>524</v>
      </c>
      <c r="H58" s="177" t="s">
        <v>652</v>
      </c>
      <c r="J58" s="176" t="b">
        <f>EXACT(G58,'Vh5205_C-85'!G58)</f>
        <v>1</v>
      </c>
    </row>
    <row r="59" spans="1:10" s="7" customFormat="1" x14ac:dyDescent="0.35">
      <c r="A59" s="90">
        <v>56</v>
      </c>
      <c r="B59" s="104" t="s">
        <v>693</v>
      </c>
      <c r="C59" s="158" t="s">
        <v>418</v>
      </c>
      <c r="D59" s="158"/>
      <c r="E59" s="158"/>
      <c r="F59" s="19" t="s">
        <v>26</v>
      </c>
      <c r="G59" s="161" t="s">
        <v>524</v>
      </c>
      <c r="H59" s="177" t="s">
        <v>652</v>
      </c>
      <c r="J59" s="176" t="b">
        <f>EXACT(G59,'Vh5205_C-85'!G59)</f>
        <v>1</v>
      </c>
    </row>
    <row r="60" spans="1:10" s="7" customFormat="1" x14ac:dyDescent="0.35">
      <c r="A60" s="90">
        <v>57</v>
      </c>
      <c r="B60" s="10" t="s">
        <v>693</v>
      </c>
      <c r="C60" s="156" t="s">
        <v>103</v>
      </c>
      <c r="D60" s="50"/>
      <c r="E60" s="156"/>
      <c r="F60" s="19" t="s">
        <v>79</v>
      </c>
      <c r="G60" s="161" t="s">
        <v>524</v>
      </c>
      <c r="H60" s="177" t="s">
        <v>652</v>
      </c>
      <c r="J60" s="176" t="b">
        <f>EXACT(G60,'Vh5205_C-85'!G60)</f>
        <v>1</v>
      </c>
    </row>
    <row r="61" spans="1:10" s="7" customFormat="1" x14ac:dyDescent="0.35">
      <c r="A61" s="90">
        <v>58</v>
      </c>
      <c r="B61" s="10" t="s">
        <v>693</v>
      </c>
      <c r="C61" s="156" t="s">
        <v>125</v>
      </c>
      <c r="D61" s="50"/>
      <c r="E61" s="156" t="s">
        <v>1</v>
      </c>
      <c r="F61" s="19" t="s">
        <v>79</v>
      </c>
      <c r="G61" s="161"/>
      <c r="H61" s="177"/>
      <c r="J61" s="2" t="b">
        <f>EXACT(G61,'Vh5205_C-85'!G61)</f>
        <v>1</v>
      </c>
    </row>
    <row r="62" spans="1:10" s="7" customFormat="1" x14ac:dyDescent="0.35">
      <c r="A62" s="90">
        <v>59</v>
      </c>
      <c r="B62" s="10" t="s">
        <v>693</v>
      </c>
      <c r="C62" s="156" t="s">
        <v>62</v>
      </c>
      <c r="D62" s="50"/>
      <c r="E62" s="156" t="s">
        <v>51</v>
      </c>
      <c r="F62" s="19" t="s">
        <v>79</v>
      </c>
      <c r="G62" s="161"/>
      <c r="H62" s="177"/>
      <c r="J62" s="1" t="b">
        <f>EXACT(G62,'Vh5205_C-85'!G62)</f>
        <v>1</v>
      </c>
    </row>
    <row r="63" spans="1:10" s="7" customFormat="1" x14ac:dyDescent="0.35">
      <c r="A63" s="90">
        <v>60</v>
      </c>
      <c r="B63" s="10" t="s">
        <v>693</v>
      </c>
      <c r="C63" s="156" t="s">
        <v>63</v>
      </c>
      <c r="D63" s="50"/>
      <c r="E63" s="156" t="s">
        <v>51</v>
      </c>
      <c r="F63" s="19" t="s">
        <v>79</v>
      </c>
      <c r="G63" s="161"/>
      <c r="H63" s="177"/>
      <c r="J63" s="1" t="b">
        <f>EXACT(G63,'Vh5205_C-85'!G63)</f>
        <v>1</v>
      </c>
    </row>
    <row r="64" spans="1:10" s="7" customFormat="1" x14ac:dyDescent="0.35">
      <c r="A64" s="90">
        <v>61</v>
      </c>
      <c r="B64" s="10" t="s">
        <v>693</v>
      </c>
      <c r="C64" s="156" t="s">
        <v>126</v>
      </c>
      <c r="D64" s="50"/>
      <c r="E64" s="156"/>
      <c r="F64" s="19" t="s">
        <v>79</v>
      </c>
      <c r="G64" s="161"/>
      <c r="H64" s="177"/>
      <c r="J64" s="1" t="b">
        <f>EXACT(G64,'Vh5205_C-85'!G64)</f>
        <v>1</v>
      </c>
    </row>
    <row r="65" spans="1:10" s="7" customFormat="1" x14ac:dyDescent="0.35">
      <c r="A65" s="90">
        <v>62</v>
      </c>
      <c r="B65" s="10" t="s">
        <v>693</v>
      </c>
      <c r="C65" s="156" t="s">
        <v>52</v>
      </c>
      <c r="D65" s="50"/>
      <c r="E65" s="156"/>
      <c r="F65" s="19" t="s">
        <v>79</v>
      </c>
      <c r="G65" s="161"/>
      <c r="H65" s="177"/>
      <c r="J65" s="1" t="b">
        <f>EXACT(G65,'Vh5205_C-85'!G65)</f>
        <v>1</v>
      </c>
    </row>
    <row r="66" spans="1:10" s="7" customFormat="1" x14ac:dyDescent="0.35">
      <c r="A66" s="90">
        <v>63</v>
      </c>
      <c r="B66" s="10" t="s">
        <v>693</v>
      </c>
      <c r="C66" s="156" t="s">
        <v>189</v>
      </c>
      <c r="D66" s="50"/>
      <c r="E66" s="156"/>
      <c r="F66" s="19" t="s">
        <v>79</v>
      </c>
      <c r="G66" s="161" t="s">
        <v>682</v>
      </c>
      <c r="H66" s="177" t="s">
        <v>652</v>
      </c>
      <c r="J66" s="176" t="b">
        <f>EXACT(G66,'Vh5205_C-85'!G66)</f>
        <v>1</v>
      </c>
    </row>
    <row r="67" spans="1:10" s="7" customFormat="1" x14ac:dyDescent="0.35">
      <c r="A67" s="90">
        <v>64</v>
      </c>
      <c r="B67" s="10" t="s">
        <v>693</v>
      </c>
      <c r="C67" s="156" t="s">
        <v>190</v>
      </c>
      <c r="D67" s="50"/>
      <c r="E67" s="156"/>
      <c r="F67" s="19" t="s">
        <v>79</v>
      </c>
      <c r="G67" s="192"/>
      <c r="H67" s="177"/>
      <c r="J67" s="1" t="b">
        <f>EXACT(G67,'Vh5205_C-85'!G67)</f>
        <v>1</v>
      </c>
    </row>
    <row r="68" spans="1:10" s="7" customFormat="1" x14ac:dyDescent="0.35">
      <c r="A68" s="90">
        <v>65</v>
      </c>
      <c r="B68" s="10" t="s">
        <v>693</v>
      </c>
      <c r="C68" s="156" t="s">
        <v>382</v>
      </c>
      <c r="D68" s="50"/>
      <c r="E68" s="156"/>
      <c r="F68" s="19" t="s">
        <v>79</v>
      </c>
      <c r="G68" s="161" t="s">
        <v>620</v>
      </c>
      <c r="H68" s="177" t="s">
        <v>652</v>
      </c>
      <c r="J68" s="176" t="b">
        <f>EXACT(G68,'Vh5205_C-85'!G68)</f>
        <v>1</v>
      </c>
    </row>
    <row r="69" spans="1:10" s="7" customFormat="1" ht="31" x14ac:dyDescent="0.35">
      <c r="A69" s="90">
        <v>66</v>
      </c>
      <c r="B69" s="10" t="s">
        <v>693</v>
      </c>
      <c r="C69" s="156" t="s">
        <v>419</v>
      </c>
      <c r="D69" s="50"/>
      <c r="E69" s="156" t="s">
        <v>480</v>
      </c>
      <c r="F69" s="19" t="s">
        <v>26</v>
      </c>
      <c r="G69" s="161" t="s">
        <v>650</v>
      </c>
      <c r="H69" s="177" t="s">
        <v>652</v>
      </c>
      <c r="J69" s="176" t="b">
        <f>EXACT(G69,'Vh5205_C-85'!G69)</f>
        <v>1</v>
      </c>
    </row>
    <row r="70" spans="1:10" s="7" customFormat="1" ht="31" x14ac:dyDescent="0.35">
      <c r="A70" s="90">
        <v>67</v>
      </c>
      <c r="B70" s="104" t="s">
        <v>693</v>
      </c>
      <c r="C70" s="158" t="s">
        <v>420</v>
      </c>
      <c r="D70" s="158"/>
      <c r="E70" s="158"/>
      <c r="F70" s="19" t="s">
        <v>26</v>
      </c>
      <c r="G70" s="161" t="s">
        <v>717</v>
      </c>
      <c r="H70" s="177" t="s">
        <v>652</v>
      </c>
      <c r="J70" s="176" t="b">
        <f>EXACT(G70,'Vh5205_C-85'!G70)</f>
        <v>1</v>
      </c>
    </row>
    <row r="71" spans="1:10" s="7" customFormat="1" x14ac:dyDescent="0.35">
      <c r="A71" s="90">
        <v>68</v>
      </c>
      <c r="B71" s="104" t="s">
        <v>693</v>
      </c>
      <c r="C71" s="158" t="s">
        <v>421</v>
      </c>
      <c r="D71" s="107"/>
      <c r="E71" s="107"/>
      <c r="F71" s="22" t="s">
        <v>79</v>
      </c>
      <c r="G71" s="196"/>
      <c r="H71" s="180"/>
      <c r="J71" s="1" t="b">
        <f>EXACT(G71,'Vh5205_C-85'!G71)</f>
        <v>1</v>
      </c>
    </row>
    <row r="72" spans="1:10" s="7" customFormat="1" x14ac:dyDescent="0.35">
      <c r="A72" s="90">
        <v>69</v>
      </c>
      <c r="B72" s="102" t="s">
        <v>694</v>
      </c>
      <c r="C72" s="102" t="s">
        <v>422</v>
      </c>
      <c r="D72" s="156"/>
      <c r="E72" s="156"/>
      <c r="F72" s="19" t="s">
        <v>79</v>
      </c>
      <c r="G72" s="161"/>
      <c r="H72" s="177"/>
      <c r="J72" s="1" t="b">
        <f>EXACT(G72,'Vh5205_C-85'!G72)</f>
        <v>1</v>
      </c>
    </row>
    <row r="73" spans="1:10" s="7" customFormat="1" x14ac:dyDescent="0.35">
      <c r="A73" s="90">
        <v>70</v>
      </c>
      <c r="B73" s="13" t="s">
        <v>694</v>
      </c>
      <c r="C73" s="13" t="s">
        <v>102</v>
      </c>
      <c r="D73" s="87"/>
      <c r="E73" s="13"/>
      <c r="F73" s="22" t="s">
        <v>79</v>
      </c>
      <c r="G73" s="196"/>
      <c r="H73" s="180"/>
      <c r="J73" s="1" t="b">
        <f>EXACT(G73,'Vh5205_C-85'!G73)</f>
        <v>1</v>
      </c>
    </row>
    <row r="74" spans="1:10" s="7" customFormat="1" x14ac:dyDescent="0.35">
      <c r="A74" s="90">
        <v>71</v>
      </c>
      <c r="B74" s="10" t="s">
        <v>695</v>
      </c>
      <c r="C74" s="156" t="s">
        <v>127</v>
      </c>
      <c r="D74" s="50"/>
      <c r="E74" s="156" t="s">
        <v>4</v>
      </c>
      <c r="F74" s="19" t="s">
        <v>79</v>
      </c>
      <c r="G74" s="161"/>
      <c r="H74" s="177"/>
      <c r="J74" s="1" t="b">
        <f>EXACT(G74,'Vh5205_C-85'!G74)</f>
        <v>1</v>
      </c>
    </row>
    <row r="75" spans="1:10" s="7" customFormat="1" x14ac:dyDescent="0.35">
      <c r="A75" s="90">
        <v>72</v>
      </c>
      <c r="B75" s="10" t="s">
        <v>695</v>
      </c>
      <c r="C75" s="156" t="s">
        <v>298</v>
      </c>
      <c r="D75" s="50"/>
      <c r="E75" s="156" t="s">
        <v>4</v>
      </c>
      <c r="F75" s="19" t="s">
        <v>79</v>
      </c>
      <c r="G75" s="192" t="s">
        <v>655</v>
      </c>
      <c r="H75" s="177" t="s">
        <v>652</v>
      </c>
      <c r="J75" s="176" t="b">
        <f>EXACT(G75,'Vh5205_C-85'!G75)</f>
        <v>1</v>
      </c>
    </row>
    <row r="76" spans="1:10" s="7" customFormat="1" x14ac:dyDescent="0.35">
      <c r="A76" s="90">
        <v>73</v>
      </c>
      <c r="B76" s="10" t="s">
        <v>695</v>
      </c>
      <c r="C76" s="156" t="s">
        <v>115</v>
      </c>
      <c r="D76" s="50"/>
      <c r="E76" s="156"/>
      <c r="F76" s="22" t="s">
        <v>79</v>
      </c>
      <c r="G76" s="196"/>
      <c r="H76" s="180"/>
      <c r="J76" s="1" t="b">
        <f>EXACT(G76,'Vh5205_C-85'!G76)</f>
        <v>1</v>
      </c>
    </row>
    <row r="77" spans="1:10" x14ac:dyDescent="0.35">
      <c r="A77" s="90">
        <v>74</v>
      </c>
      <c r="B77" s="100" t="s">
        <v>696</v>
      </c>
      <c r="C77" s="100" t="s">
        <v>43</v>
      </c>
      <c r="D77" s="100"/>
      <c r="E77" s="100"/>
      <c r="F77" s="19" t="s">
        <v>79</v>
      </c>
      <c r="G77" s="161" t="s">
        <v>510</v>
      </c>
      <c r="H77" s="140"/>
      <c r="J77" s="1" t="b">
        <f>EXACT(G77,'Vh5205_C-85'!G77)</f>
        <v>0</v>
      </c>
    </row>
    <row r="78" spans="1:10" x14ac:dyDescent="0.35">
      <c r="A78" s="90">
        <v>75</v>
      </c>
      <c r="B78" s="146" t="s">
        <v>696</v>
      </c>
      <c r="C78" s="50" t="s">
        <v>114</v>
      </c>
      <c r="D78" s="50"/>
      <c r="E78" s="50"/>
      <c r="F78" s="19" t="s">
        <v>79</v>
      </c>
      <c r="G78" s="161"/>
      <c r="H78" s="140"/>
      <c r="J78" s="1" t="b">
        <f>EXACT(G78,'Vh5205_C-85'!G78)</f>
        <v>1</v>
      </c>
    </row>
    <row r="79" spans="1:10" x14ac:dyDescent="0.35">
      <c r="A79" s="90">
        <v>76</v>
      </c>
      <c r="B79" s="10" t="s">
        <v>696</v>
      </c>
      <c r="C79" s="156" t="s">
        <v>338</v>
      </c>
      <c r="D79" s="50"/>
      <c r="E79" s="50"/>
      <c r="F79" s="19" t="s">
        <v>79</v>
      </c>
      <c r="G79" s="192" t="s">
        <v>615</v>
      </c>
      <c r="H79" s="140" t="s">
        <v>652</v>
      </c>
      <c r="J79" s="176" t="b">
        <f>EXACT(G79,'Vh5205_C-85'!G79)</f>
        <v>1</v>
      </c>
    </row>
    <row r="80" spans="1:10" x14ac:dyDescent="0.35">
      <c r="A80" s="90">
        <v>77</v>
      </c>
      <c r="B80" s="10" t="s">
        <v>696</v>
      </c>
      <c r="C80" s="156" t="s">
        <v>150</v>
      </c>
      <c r="D80" s="50"/>
      <c r="E80" s="50"/>
      <c r="F80" s="19" t="s">
        <v>26</v>
      </c>
      <c r="G80" s="192" t="s">
        <v>612</v>
      </c>
      <c r="H80" s="140" t="s">
        <v>652</v>
      </c>
      <c r="J80" s="176" t="b">
        <f>EXACT(G80,'Vh5205_C-85'!G80)</f>
        <v>1</v>
      </c>
    </row>
    <row r="81" spans="1:10" x14ac:dyDescent="0.35">
      <c r="A81" s="90">
        <v>78</v>
      </c>
      <c r="B81" s="10" t="s">
        <v>696</v>
      </c>
      <c r="C81" s="156" t="s">
        <v>152</v>
      </c>
      <c r="D81" s="50"/>
      <c r="E81" s="50"/>
      <c r="F81" s="19" t="s">
        <v>26</v>
      </c>
      <c r="G81" s="192" t="s">
        <v>267</v>
      </c>
      <c r="H81" s="140" t="s">
        <v>652</v>
      </c>
      <c r="J81" s="176" t="b">
        <f>EXACT(G81,'Vh5205_C-85'!G81)</f>
        <v>1</v>
      </c>
    </row>
    <row r="82" spans="1:10" x14ac:dyDescent="0.35">
      <c r="A82" s="90">
        <v>79</v>
      </c>
      <c r="B82" s="10" t="s">
        <v>696</v>
      </c>
      <c r="C82" s="156" t="s">
        <v>153</v>
      </c>
      <c r="D82" s="50"/>
      <c r="E82" s="50"/>
      <c r="F82" s="19" t="s">
        <v>26</v>
      </c>
      <c r="G82" s="192" t="s">
        <v>268</v>
      </c>
      <c r="H82" s="140" t="s">
        <v>652</v>
      </c>
      <c r="J82" s="176" t="b">
        <f>EXACT(G82,'Vh5205_C-85'!G82)</f>
        <v>1</v>
      </c>
    </row>
    <row r="83" spans="1:10" ht="31" x14ac:dyDescent="0.35">
      <c r="A83" s="90">
        <v>80</v>
      </c>
      <c r="B83" s="10" t="s">
        <v>696</v>
      </c>
      <c r="C83" s="156" t="s">
        <v>9</v>
      </c>
      <c r="D83" s="50"/>
      <c r="E83" s="50"/>
      <c r="F83" s="19" t="s">
        <v>26</v>
      </c>
      <c r="G83" s="161" t="s">
        <v>715</v>
      </c>
      <c r="H83" s="140" t="s">
        <v>652</v>
      </c>
      <c r="J83" s="176" t="b">
        <f>EXACT(G83,'Vh5205_C-85'!G83)</f>
        <v>1</v>
      </c>
    </row>
    <row r="84" spans="1:10" x14ac:dyDescent="0.35">
      <c r="A84" s="90">
        <v>81</v>
      </c>
      <c r="B84" s="10" t="s">
        <v>696</v>
      </c>
      <c r="C84" s="156" t="s">
        <v>339</v>
      </c>
      <c r="D84" s="50"/>
      <c r="E84" s="50"/>
      <c r="F84" s="19" t="s">
        <v>26</v>
      </c>
      <c r="G84" s="161" t="s">
        <v>718</v>
      </c>
      <c r="H84" s="140" t="s">
        <v>652</v>
      </c>
      <c r="J84" s="176" t="b">
        <f>EXACT(G84,'Vh5205_C-85'!G84)</f>
        <v>1</v>
      </c>
    </row>
    <row r="85" spans="1:10" ht="31" x14ac:dyDescent="0.35">
      <c r="A85" s="90">
        <v>82</v>
      </c>
      <c r="B85" s="10" t="s">
        <v>696</v>
      </c>
      <c r="C85" s="156" t="s">
        <v>573</v>
      </c>
      <c r="D85" s="50"/>
      <c r="E85" s="50"/>
      <c r="F85" s="19" t="s">
        <v>26</v>
      </c>
      <c r="G85" s="161" t="s">
        <v>537</v>
      </c>
      <c r="H85" s="140" t="s">
        <v>652</v>
      </c>
      <c r="J85" s="176" t="b">
        <f>EXACT(G85,'Vh5205_C-85'!G85)</f>
        <v>1</v>
      </c>
    </row>
    <row r="86" spans="1:10" s="7" customFormat="1" ht="46.5" x14ac:dyDescent="0.35">
      <c r="A86" s="90">
        <v>83</v>
      </c>
      <c r="B86" s="13" t="s">
        <v>696</v>
      </c>
      <c r="C86" s="13" t="s">
        <v>133</v>
      </c>
      <c r="D86" s="87"/>
      <c r="E86" s="87" t="s">
        <v>51</v>
      </c>
      <c r="F86" s="22" t="s">
        <v>79</v>
      </c>
      <c r="G86" s="196" t="s">
        <v>651</v>
      </c>
      <c r="H86" s="182" t="s">
        <v>652</v>
      </c>
      <c r="J86" s="176" t="b">
        <f>EXACT(G86,'Vh5205_C-85'!G86)</f>
        <v>1</v>
      </c>
    </row>
    <row r="87" spans="1:10" x14ac:dyDescent="0.35">
      <c r="A87" s="90">
        <v>84</v>
      </c>
      <c r="B87" s="146" t="s">
        <v>697</v>
      </c>
      <c r="C87" s="50" t="s">
        <v>299</v>
      </c>
      <c r="D87" s="157"/>
      <c r="E87" s="50"/>
      <c r="F87" s="19" t="s">
        <v>79</v>
      </c>
      <c r="G87" s="204" t="s">
        <v>502</v>
      </c>
      <c r="H87" s="140" t="s">
        <v>652</v>
      </c>
      <c r="J87" s="176" t="b">
        <f>EXACT(G87,'Vh5205_C-85'!G87)</f>
        <v>1</v>
      </c>
    </row>
    <row r="88" spans="1:10" x14ac:dyDescent="0.35">
      <c r="A88" s="90">
        <v>85</v>
      </c>
      <c r="B88" s="10" t="s">
        <v>697</v>
      </c>
      <c r="C88" s="156" t="s">
        <v>300</v>
      </c>
      <c r="D88" s="157"/>
      <c r="E88" s="50"/>
      <c r="F88" s="19" t="s">
        <v>79</v>
      </c>
      <c r="G88" s="192" t="s">
        <v>617</v>
      </c>
      <c r="H88" s="140" t="s">
        <v>652</v>
      </c>
      <c r="J88" s="176" t="b">
        <f>EXACT(G88,'Vh5205_C-85'!G88)</f>
        <v>1</v>
      </c>
    </row>
    <row r="89" spans="1:10" x14ac:dyDescent="0.35">
      <c r="A89" s="90">
        <v>86</v>
      </c>
      <c r="B89" s="10" t="s">
        <v>697</v>
      </c>
      <c r="C89" s="156" t="s">
        <v>156</v>
      </c>
      <c r="D89" s="50"/>
      <c r="E89" s="50" t="s">
        <v>0</v>
      </c>
      <c r="F89" s="19" t="s">
        <v>79</v>
      </c>
      <c r="G89" s="192">
        <v>1</v>
      </c>
      <c r="H89" s="140" t="s">
        <v>652</v>
      </c>
      <c r="J89" s="176" t="b">
        <f>EXACT(G89,'Vh5205_C-85'!G89)</f>
        <v>1</v>
      </c>
    </row>
    <row r="90" spans="1:10" x14ac:dyDescent="0.35">
      <c r="A90" s="90">
        <v>87</v>
      </c>
      <c r="B90" s="10" t="s">
        <v>697</v>
      </c>
      <c r="C90" s="156" t="s">
        <v>132</v>
      </c>
      <c r="D90" s="50"/>
      <c r="E90" s="50" t="s">
        <v>0</v>
      </c>
      <c r="F90" s="19" t="s">
        <v>79</v>
      </c>
      <c r="G90" s="192">
        <v>20</v>
      </c>
      <c r="H90" s="140" t="s">
        <v>652</v>
      </c>
      <c r="J90" s="176" t="b">
        <f>EXACT(G90,'Vh5205_C-85'!G90)</f>
        <v>1</v>
      </c>
    </row>
    <row r="91" spans="1:10" s="7" customFormat="1" x14ac:dyDescent="0.35">
      <c r="A91" s="90">
        <v>88</v>
      </c>
      <c r="B91" s="10" t="s">
        <v>697</v>
      </c>
      <c r="C91" s="156" t="s">
        <v>343</v>
      </c>
      <c r="D91" s="50"/>
      <c r="E91" s="50"/>
      <c r="F91" s="20" t="s">
        <v>26</v>
      </c>
      <c r="G91" s="161" t="s">
        <v>625</v>
      </c>
      <c r="H91" s="140" t="s">
        <v>652</v>
      </c>
      <c r="J91" s="176" t="b">
        <f>EXACT(G91,'Vh5205_C-85'!G91)</f>
        <v>1</v>
      </c>
    </row>
    <row r="92" spans="1:10" s="7" customFormat="1" ht="31" x14ac:dyDescent="0.35">
      <c r="A92" s="90">
        <v>89</v>
      </c>
      <c r="B92" s="10" t="s">
        <v>697</v>
      </c>
      <c r="C92" s="156" t="s">
        <v>425</v>
      </c>
      <c r="D92" s="50"/>
      <c r="E92" s="50"/>
      <c r="F92" s="20" t="s">
        <v>26</v>
      </c>
      <c r="G92" s="161" t="s">
        <v>621</v>
      </c>
      <c r="H92" s="140" t="s">
        <v>652</v>
      </c>
      <c r="J92" s="176" t="b">
        <f>EXACT(G92,'Vh5205_C-85'!G92)</f>
        <v>1</v>
      </c>
    </row>
    <row r="93" spans="1:10" ht="31" x14ac:dyDescent="0.35">
      <c r="A93" s="90">
        <v>90</v>
      </c>
      <c r="B93" s="87" t="s">
        <v>697</v>
      </c>
      <c r="C93" s="87" t="s">
        <v>157</v>
      </c>
      <c r="D93" s="87"/>
      <c r="E93" s="87"/>
      <c r="F93" s="21" t="s">
        <v>26</v>
      </c>
      <c r="G93" s="196" t="s">
        <v>719</v>
      </c>
      <c r="H93" s="182" t="s">
        <v>652</v>
      </c>
      <c r="J93" s="176" t="b">
        <f>EXACT(G93,'Vh5205_C-85'!G93)</f>
        <v>1</v>
      </c>
    </row>
    <row r="94" spans="1:10" s="7" customFormat="1" x14ac:dyDescent="0.35">
      <c r="A94" s="90">
        <v>91</v>
      </c>
      <c r="B94" s="10" t="s">
        <v>698</v>
      </c>
      <c r="C94" s="156" t="s">
        <v>159</v>
      </c>
      <c r="D94" s="50"/>
      <c r="E94" s="50"/>
      <c r="F94" s="19" t="s">
        <v>79</v>
      </c>
      <c r="G94" s="197" t="s">
        <v>385</v>
      </c>
      <c r="H94" s="140" t="s">
        <v>652</v>
      </c>
      <c r="J94" s="176" t="b">
        <f>EXACT(G94,'Vh5205_C-85'!G94)</f>
        <v>1</v>
      </c>
    </row>
    <row r="95" spans="1:10" s="7" customFormat="1" x14ac:dyDescent="0.35">
      <c r="A95" s="90">
        <v>92</v>
      </c>
      <c r="B95" s="146" t="s">
        <v>698</v>
      </c>
      <c r="C95" s="50" t="s">
        <v>426</v>
      </c>
      <c r="D95" s="50"/>
      <c r="E95" s="50"/>
      <c r="F95" s="19" t="s">
        <v>79</v>
      </c>
      <c r="G95" s="205" t="s">
        <v>391</v>
      </c>
      <c r="H95" s="140" t="s">
        <v>652</v>
      </c>
      <c r="J95" s="176" t="b">
        <f>EXACT(G95,'Vh5205_C-85'!G95)</f>
        <v>1</v>
      </c>
    </row>
    <row r="96" spans="1:10" s="7" customFormat="1" x14ac:dyDescent="0.35">
      <c r="A96" s="90">
        <v>93</v>
      </c>
      <c r="B96" s="146" t="s">
        <v>698</v>
      </c>
      <c r="C96" s="50" t="s">
        <v>386</v>
      </c>
      <c r="D96" s="50"/>
      <c r="E96" s="50"/>
      <c r="F96" s="19" t="s">
        <v>26</v>
      </c>
      <c r="G96" s="198" t="s">
        <v>387</v>
      </c>
      <c r="H96" s="140" t="s">
        <v>652</v>
      </c>
      <c r="J96" s="176" t="b">
        <f>EXACT(G96,'Vh5205_C-85'!G96)</f>
        <v>1</v>
      </c>
    </row>
    <row r="97" spans="1:10" s="7" customFormat="1" x14ac:dyDescent="0.35">
      <c r="A97" s="90">
        <v>94</v>
      </c>
      <c r="B97" s="146" t="s">
        <v>698</v>
      </c>
      <c r="C97" s="50" t="s">
        <v>105</v>
      </c>
      <c r="D97" s="50"/>
      <c r="E97" s="50"/>
      <c r="F97" s="19" t="s">
        <v>26</v>
      </c>
      <c r="G97" s="161" t="s">
        <v>656</v>
      </c>
      <c r="H97" s="140" t="s">
        <v>652</v>
      </c>
      <c r="J97" s="176" t="b">
        <f>EXACT(G97,'Vh5205_C-85'!G97)</f>
        <v>1</v>
      </c>
    </row>
    <row r="98" spans="1:10" s="7" customFormat="1" x14ac:dyDescent="0.35">
      <c r="A98" s="90">
        <v>95</v>
      </c>
      <c r="B98" s="87" t="s">
        <v>698</v>
      </c>
      <c r="C98" s="87" t="s">
        <v>160</v>
      </c>
      <c r="D98" s="87"/>
      <c r="E98" s="87"/>
      <c r="F98" s="22" t="s">
        <v>79</v>
      </c>
      <c r="G98" s="194" t="s">
        <v>196</v>
      </c>
      <c r="H98" s="182" t="s">
        <v>652</v>
      </c>
      <c r="J98" s="176" t="b">
        <f>EXACT(G98,'Vh5205_C-85'!G98)</f>
        <v>1</v>
      </c>
    </row>
    <row r="99" spans="1:10" x14ac:dyDescent="0.35">
      <c r="A99" s="90">
        <v>96</v>
      </c>
      <c r="B99" s="10" t="s">
        <v>699</v>
      </c>
      <c r="C99" s="156" t="s">
        <v>428</v>
      </c>
      <c r="D99" s="50"/>
      <c r="E99" s="50"/>
      <c r="F99" s="20" t="s">
        <v>26</v>
      </c>
      <c r="G99" s="206" t="s">
        <v>196</v>
      </c>
      <c r="H99" s="140" t="s">
        <v>652</v>
      </c>
      <c r="J99" s="176" t="b">
        <f>EXACT(G99,'Vh5205_C-85'!G99)</f>
        <v>1</v>
      </c>
    </row>
    <row r="100" spans="1:10" x14ac:dyDescent="0.35">
      <c r="A100" s="90">
        <v>97</v>
      </c>
      <c r="B100" s="104" t="s">
        <v>699</v>
      </c>
      <c r="C100" s="158" t="s">
        <v>161</v>
      </c>
      <c r="D100" s="158"/>
      <c r="E100" s="158"/>
      <c r="F100" s="20" t="s">
        <v>79</v>
      </c>
      <c r="G100" s="192"/>
      <c r="H100" s="140"/>
      <c r="J100" s="1" t="b">
        <f>EXACT(G100,'Vh5205_C-85'!G100)</f>
        <v>1</v>
      </c>
    </row>
    <row r="101" spans="1:10" x14ac:dyDescent="0.35">
      <c r="A101" s="90">
        <v>98</v>
      </c>
      <c r="B101" s="104" t="s">
        <v>699</v>
      </c>
      <c r="C101" s="158" t="s">
        <v>272</v>
      </c>
      <c r="D101" s="158"/>
      <c r="E101" s="158"/>
      <c r="F101" s="20" t="s">
        <v>26</v>
      </c>
      <c r="G101" s="207">
        <v>44778</v>
      </c>
      <c r="H101" s="140" t="s">
        <v>652</v>
      </c>
      <c r="J101" s="176" t="b">
        <f>EXACT(G101,'Vh5205_C-85'!G101)</f>
        <v>1</v>
      </c>
    </row>
    <row r="102" spans="1:10" x14ac:dyDescent="0.35">
      <c r="A102" s="90">
        <v>99</v>
      </c>
      <c r="B102" s="104" t="s">
        <v>699</v>
      </c>
      <c r="C102" s="158" t="s">
        <v>271</v>
      </c>
      <c r="D102" s="158"/>
      <c r="E102" s="158"/>
      <c r="F102" s="20" t="s">
        <v>26</v>
      </c>
      <c r="G102" s="161" t="s">
        <v>503</v>
      </c>
      <c r="H102" s="140" t="s">
        <v>652</v>
      </c>
      <c r="J102" s="176" t="b">
        <f>EXACT(G102,'Vh5205_C-85'!G102)</f>
        <v>1</v>
      </c>
    </row>
    <row r="103" spans="1:10" x14ac:dyDescent="0.35">
      <c r="A103" s="90">
        <v>100</v>
      </c>
      <c r="B103" s="10" t="s">
        <v>699</v>
      </c>
      <c r="C103" s="156" t="s">
        <v>120</v>
      </c>
      <c r="D103" s="50"/>
      <c r="E103" s="50"/>
      <c r="F103" s="20" t="s">
        <v>26</v>
      </c>
      <c r="G103" s="192" t="s">
        <v>270</v>
      </c>
      <c r="H103" s="140" t="s">
        <v>652</v>
      </c>
      <c r="J103" s="176" t="b">
        <f>EXACT(G103,'Vh5205_C-85'!G103)</f>
        <v>1</v>
      </c>
    </row>
    <row r="104" spans="1:10" x14ac:dyDescent="0.35">
      <c r="A104" s="90">
        <v>101</v>
      </c>
      <c r="B104" s="10" t="s">
        <v>699</v>
      </c>
      <c r="C104" s="156" t="s">
        <v>119</v>
      </c>
      <c r="D104" s="50"/>
      <c r="E104" s="50"/>
      <c r="F104" s="20" t="s">
        <v>26</v>
      </c>
      <c r="G104" s="161">
        <v>1</v>
      </c>
      <c r="H104" s="140" t="s">
        <v>652</v>
      </c>
      <c r="J104" s="176" t="b">
        <f>EXACT(G104,'Vh5205_C-85'!G104)</f>
        <v>1</v>
      </c>
    </row>
    <row r="105" spans="1:10" x14ac:dyDescent="0.35">
      <c r="A105" s="90">
        <v>102</v>
      </c>
      <c r="B105" s="10" t="s">
        <v>699</v>
      </c>
      <c r="C105" s="156" t="s">
        <v>121</v>
      </c>
      <c r="D105" s="50"/>
      <c r="E105" s="50" t="s">
        <v>0</v>
      </c>
      <c r="F105" s="20" t="s">
        <v>26</v>
      </c>
      <c r="G105" s="161" t="s">
        <v>487</v>
      </c>
      <c r="H105" s="140" t="s">
        <v>652</v>
      </c>
      <c r="J105" s="176" t="b">
        <f>EXACT(G105,'Vh5205_C-85'!G105)</f>
        <v>1</v>
      </c>
    </row>
    <row r="106" spans="1:10" x14ac:dyDescent="0.35">
      <c r="A106" s="90">
        <v>103</v>
      </c>
      <c r="B106" s="13" t="s">
        <v>699</v>
      </c>
      <c r="C106" s="13" t="s">
        <v>430</v>
      </c>
      <c r="D106" s="87"/>
      <c r="E106" s="87"/>
      <c r="F106" s="22" t="s">
        <v>26</v>
      </c>
      <c r="G106" s="194" t="s">
        <v>196</v>
      </c>
      <c r="H106" s="182" t="s">
        <v>652</v>
      </c>
      <c r="J106" s="176" t="b">
        <f>EXACT(G106,'Vh5205_C-85'!G106)</f>
        <v>1</v>
      </c>
    </row>
    <row r="107" spans="1:10" x14ac:dyDescent="0.35">
      <c r="A107" s="90">
        <v>104</v>
      </c>
      <c r="B107" s="10" t="s">
        <v>700</v>
      </c>
      <c r="C107" s="156" t="s">
        <v>458</v>
      </c>
      <c r="D107" s="50"/>
      <c r="E107" s="50"/>
      <c r="F107" s="20" t="s">
        <v>26</v>
      </c>
      <c r="G107" s="197" t="s">
        <v>196</v>
      </c>
      <c r="H107" s="140" t="s">
        <v>652</v>
      </c>
      <c r="J107" s="176" t="b">
        <f>EXACT(G107,'Vh5205_C-85'!G107)</f>
        <v>1</v>
      </c>
    </row>
    <row r="108" spans="1:10" ht="31" x14ac:dyDescent="0.35">
      <c r="A108" s="90">
        <v>105</v>
      </c>
      <c r="B108" s="104" t="s">
        <v>700</v>
      </c>
      <c r="C108" s="158" t="s">
        <v>459</v>
      </c>
      <c r="D108" s="158"/>
      <c r="E108" s="158"/>
      <c r="F108" s="20" t="s">
        <v>26</v>
      </c>
      <c r="G108" s="161" t="s">
        <v>609</v>
      </c>
      <c r="H108" s="140" t="s">
        <v>652</v>
      </c>
      <c r="J108" s="176" t="b">
        <f>EXACT(G108,'Vh5205_C-85'!G108)</f>
        <v>1</v>
      </c>
    </row>
    <row r="109" spans="1:10" x14ac:dyDescent="0.35">
      <c r="A109" s="90">
        <v>106</v>
      </c>
      <c r="B109" s="104" t="s">
        <v>700</v>
      </c>
      <c r="C109" s="158" t="s">
        <v>161</v>
      </c>
      <c r="D109" s="158"/>
      <c r="E109" s="158"/>
      <c r="F109" s="20" t="s">
        <v>79</v>
      </c>
      <c r="G109" s="161" t="s">
        <v>539</v>
      </c>
      <c r="H109" s="140" t="s">
        <v>652</v>
      </c>
      <c r="J109" s="176" t="b">
        <f>EXACT(G109,'Vh5205_C-85'!G109)</f>
        <v>1</v>
      </c>
    </row>
    <row r="110" spans="1:10" x14ac:dyDescent="0.35">
      <c r="A110" s="90">
        <v>107</v>
      </c>
      <c r="B110" s="104" t="s">
        <v>700</v>
      </c>
      <c r="C110" s="158" t="s">
        <v>272</v>
      </c>
      <c r="D110" s="158"/>
      <c r="E110" s="158"/>
      <c r="F110" s="20" t="s">
        <v>26</v>
      </c>
      <c r="G110" s="207">
        <v>45098</v>
      </c>
      <c r="H110" s="140" t="s">
        <v>652</v>
      </c>
      <c r="J110" s="176" t="b">
        <f>EXACT(G110,'Vh5205_C-85'!G110)</f>
        <v>1</v>
      </c>
    </row>
    <row r="111" spans="1:10" x14ac:dyDescent="0.35">
      <c r="A111" s="90">
        <v>108</v>
      </c>
      <c r="B111" s="104" t="s">
        <v>700</v>
      </c>
      <c r="C111" s="158" t="s">
        <v>271</v>
      </c>
      <c r="D111" s="158"/>
      <c r="E111" s="158"/>
      <c r="F111" s="20" t="s">
        <v>26</v>
      </c>
      <c r="G111" s="192" t="s">
        <v>504</v>
      </c>
      <c r="H111" s="140" t="s">
        <v>652</v>
      </c>
      <c r="J111" s="176" t="b">
        <f>EXACT(G111,'Vh5205_C-85'!G111)</f>
        <v>1</v>
      </c>
    </row>
    <row r="112" spans="1:10" x14ac:dyDescent="0.35">
      <c r="A112" s="90">
        <v>109</v>
      </c>
      <c r="B112" s="10" t="s">
        <v>700</v>
      </c>
      <c r="C112" s="156" t="s">
        <v>120</v>
      </c>
      <c r="D112" s="50"/>
      <c r="E112" s="50"/>
      <c r="F112" s="20" t="s">
        <v>26</v>
      </c>
      <c r="G112" s="192" t="s">
        <v>524</v>
      </c>
      <c r="H112" s="140" t="s">
        <v>652</v>
      </c>
      <c r="J112" s="176" t="b">
        <f>EXACT(G112,'Vh5205_C-85'!G112)</f>
        <v>1</v>
      </c>
    </row>
    <row r="113" spans="1:10" x14ac:dyDescent="0.35">
      <c r="A113" s="90">
        <v>110</v>
      </c>
      <c r="B113" s="10" t="s">
        <v>700</v>
      </c>
      <c r="C113" s="156" t="s">
        <v>119</v>
      </c>
      <c r="D113" s="50"/>
      <c r="E113" s="50"/>
      <c r="F113" s="20" t="s">
        <v>26</v>
      </c>
      <c r="G113" s="192" t="s">
        <v>524</v>
      </c>
      <c r="H113" s="140" t="s">
        <v>652</v>
      </c>
      <c r="J113" s="176" t="b">
        <f>EXACT(G113,'Vh5205_C-85'!G113)</f>
        <v>1</v>
      </c>
    </row>
    <row r="114" spans="1:10" x14ac:dyDescent="0.35">
      <c r="A114" s="90">
        <v>111</v>
      </c>
      <c r="B114" s="13" t="s">
        <v>700</v>
      </c>
      <c r="C114" s="13" t="s">
        <v>121</v>
      </c>
      <c r="D114" s="87"/>
      <c r="E114" s="87" t="s">
        <v>0</v>
      </c>
      <c r="F114" s="21" t="s">
        <v>26</v>
      </c>
      <c r="G114" s="194" t="s">
        <v>505</v>
      </c>
      <c r="H114" s="182" t="s">
        <v>652</v>
      </c>
      <c r="J114" s="176" t="b">
        <f>EXACT(G114,'Vh5205_C-85'!G114)</f>
        <v>1</v>
      </c>
    </row>
    <row r="115" spans="1:10" x14ac:dyDescent="0.35">
      <c r="A115" s="90">
        <v>112</v>
      </c>
      <c r="B115" s="102" t="s">
        <v>701</v>
      </c>
      <c r="C115" s="102" t="s">
        <v>308</v>
      </c>
      <c r="D115" s="50"/>
      <c r="E115" s="50"/>
      <c r="F115" s="39" t="s">
        <v>26</v>
      </c>
      <c r="G115" s="197" t="s">
        <v>347</v>
      </c>
      <c r="H115" s="140" t="s">
        <v>652</v>
      </c>
      <c r="J115" s="176" t="b">
        <f>EXACT(G115,'Vh5205_C-85'!G115)</f>
        <v>1</v>
      </c>
    </row>
    <row r="116" spans="1:10" s="7" customFormat="1" x14ac:dyDescent="0.35">
      <c r="A116" s="90">
        <v>113</v>
      </c>
      <c r="B116" s="13" t="s">
        <v>701</v>
      </c>
      <c r="C116" s="13" t="s">
        <v>163</v>
      </c>
      <c r="D116" s="87"/>
      <c r="E116" s="87"/>
      <c r="F116" s="22" t="s">
        <v>26</v>
      </c>
      <c r="G116" s="194" t="s">
        <v>196</v>
      </c>
      <c r="H116" s="182" t="s">
        <v>652</v>
      </c>
      <c r="J116" s="176" t="b">
        <f>EXACT(G116,'Vh5205_C-85'!G116)</f>
        <v>1</v>
      </c>
    </row>
    <row r="117" spans="1:10" s="7" customFormat="1" x14ac:dyDescent="0.35">
      <c r="A117" s="90">
        <v>114</v>
      </c>
      <c r="B117" s="102" t="s">
        <v>702</v>
      </c>
      <c r="C117" s="102" t="s">
        <v>164</v>
      </c>
      <c r="D117" s="100"/>
      <c r="E117" s="100"/>
      <c r="F117" s="18" t="s">
        <v>26</v>
      </c>
      <c r="G117" s="206" t="s">
        <v>196</v>
      </c>
      <c r="H117" s="140" t="s">
        <v>652</v>
      </c>
      <c r="J117" s="176" t="b">
        <f>EXACT(G117,'Vh5205_C-85'!G117)</f>
        <v>1</v>
      </c>
    </row>
    <row r="118" spans="1:10" s="7" customFormat="1" x14ac:dyDescent="0.35">
      <c r="A118" s="90">
        <v>115</v>
      </c>
      <c r="B118" s="13" t="s">
        <v>702</v>
      </c>
      <c r="C118" s="13" t="s">
        <v>191</v>
      </c>
      <c r="D118" s="87"/>
      <c r="E118" s="87"/>
      <c r="F118" s="22" t="s">
        <v>79</v>
      </c>
      <c r="G118" s="194" t="s">
        <v>196</v>
      </c>
      <c r="H118" s="182" t="s">
        <v>652</v>
      </c>
      <c r="J118" s="176" t="b">
        <f>EXACT(G118,'Vh5205_C-85'!G118)</f>
        <v>1</v>
      </c>
    </row>
    <row r="119" spans="1:10" s="7" customFormat="1" x14ac:dyDescent="0.35">
      <c r="A119" s="90">
        <v>116</v>
      </c>
      <c r="B119" s="146" t="s">
        <v>703</v>
      </c>
      <c r="C119" s="50" t="s">
        <v>106</v>
      </c>
      <c r="D119" s="50"/>
      <c r="E119" s="50"/>
      <c r="F119" s="19" t="s">
        <v>26</v>
      </c>
      <c r="G119" s="197" t="s">
        <v>488</v>
      </c>
      <c r="H119" s="140" t="s">
        <v>652</v>
      </c>
      <c r="J119" s="176" t="b">
        <f>EXACT(G119,'Vh5205_C-85'!G119)</f>
        <v>1</v>
      </c>
    </row>
    <row r="120" spans="1:10" x14ac:dyDescent="0.35">
      <c r="A120" s="90">
        <v>117</v>
      </c>
      <c r="B120" s="146" t="s">
        <v>703</v>
      </c>
      <c r="C120" s="50" t="s">
        <v>434</v>
      </c>
      <c r="D120" s="149"/>
      <c r="E120" s="149"/>
      <c r="F120" s="19" t="s">
        <v>26</v>
      </c>
      <c r="G120" s="161" t="s">
        <v>506</v>
      </c>
      <c r="H120" s="140" t="s">
        <v>652</v>
      </c>
      <c r="J120" s="176" t="b">
        <f>EXACT(G120,'Vh5205_C-85'!G120)</f>
        <v>1</v>
      </c>
    </row>
    <row r="121" spans="1:10" ht="31" x14ac:dyDescent="0.35">
      <c r="A121" s="90">
        <v>118</v>
      </c>
      <c r="B121" s="87" t="s">
        <v>703</v>
      </c>
      <c r="C121" s="87" t="s">
        <v>350</v>
      </c>
      <c r="D121" s="93"/>
      <c r="E121" s="93"/>
      <c r="F121" s="22" t="s">
        <v>26</v>
      </c>
      <c r="G121" s="194" t="s">
        <v>196</v>
      </c>
      <c r="H121" s="182" t="s">
        <v>652</v>
      </c>
      <c r="J121" s="176" t="b">
        <f>EXACT(G121,'Vh5205_C-85'!G121)</f>
        <v>1</v>
      </c>
    </row>
    <row r="122" spans="1:10" x14ac:dyDescent="0.35">
      <c r="A122" s="90">
        <v>119</v>
      </c>
      <c r="B122" s="5" t="s">
        <v>704</v>
      </c>
      <c r="C122" s="149" t="s">
        <v>135</v>
      </c>
      <c r="D122" s="149"/>
      <c r="E122" s="149"/>
      <c r="F122" s="19" t="s">
        <v>26</v>
      </c>
      <c r="G122" s="206" t="s">
        <v>269</v>
      </c>
      <c r="H122" s="140" t="s">
        <v>652</v>
      </c>
      <c r="J122" s="176" t="b">
        <f>EXACT(G122,'Vh5205_C-85'!G122)</f>
        <v>1</v>
      </c>
    </row>
    <row r="123" spans="1:10" s="7" customFormat="1" ht="46.5" x14ac:dyDescent="0.35">
      <c r="A123" s="90">
        <v>120</v>
      </c>
      <c r="B123" s="146" t="s">
        <v>704</v>
      </c>
      <c r="C123" s="50" t="s">
        <v>316</v>
      </c>
      <c r="D123" s="50"/>
      <c r="E123" s="50"/>
      <c r="F123" s="19" t="s">
        <v>79</v>
      </c>
      <c r="G123" s="161" t="s">
        <v>529</v>
      </c>
      <c r="H123" s="177"/>
      <c r="J123" s="1" t="b">
        <f>EXACT(G123,'Vh5205_C-85'!G123)</f>
        <v>1</v>
      </c>
    </row>
    <row r="124" spans="1:10" x14ac:dyDescent="0.35">
      <c r="A124" s="90">
        <v>121</v>
      </c>
      <c r="B124" s="5" t="s">
        <v>704</v>
      </c>
      <c r="C124" s="149" t="s">
        <v>354</v>
      </c>
      <c r="D124" s="149"/>
      <c r="E124" s="149"/>
      <c r="F124" s="19" t="s">
        <v>26</v>
      </c>
      <c r="G124" s="161" t="s">
        <v>205</v>
      </c>
      <c r="H124" s="164" t="s">
        <v>652</v>
      </c>
      <c r="J124" s="176" t="b">
        <f>EXACT(G124,'Vh5205_C-85'!G124)</f>
        <v>1</v>
      </c>
    </row>
    <row r="125" spans="1:10" x14ac:dyDescent="0.35">
      <c r="A125" s="90">
        <v>122</v>
      </c>
      <c r="B125" s="5" t="s">
        <v>704</v>
      </c>
      <c r="C125" s="149" t="s">
        <v>139</v>
      </c>
      <c r="D125" s="149"/>
      <c r="E125" s="149" t="s">
        <v>2</v>
      </c>
      <c r="F125" s="19" t="s">
        <v>79</v>
      </c>
      <c r="G125" s="192" t="s">
        <v>489</v>
      </c>
      <c r="H125" s="164" t="s">
        <v>652</v>
      </c>
      <c r="J125" s="176" t="b">
        <f>EXACT(G125,'Vh5205_C-85'!G125)</f>
        <v>1</v>
      </c>
    </row>
    <row r="126" spans="1:10" x14ac:dyDescent="0.35">
      <c r="A126" s="90">
        <v>123</v>
      </c>
      <c r="B126" s="5" t="s">
        <v>704</v>
      </c>
      <c r="C126" s="149" t="s">
        <v>140</v>
      </c>
      <c r="D126" s="149"/>
      <c r="E126" s="149"/>
      <c r="F126" s="19" t="s">
        <v>79</v>
      </c>
      <c r="G126" s="192" t="s">
        <v>538</v>
      </c>
      <c r="H126" s="164" t="s">
        <v>652</v>
      </c>
      <c r="J126" s="176" t="b">
        <f>EXACT(G126,'Vh5205_C-85'!G126)</f>
        <v>1</v>
      </c>
    </row>
    <row r="127" spans="1:10" s="7" customFormat="1" x14ac:dyDescent="0.35">
      <c r="A127" s="90">
        <v>124</v>
      </c>
      <c r="B127" s="10" t="s">
        <v>704</v>
      </c>
      <c r="C127" s="156" t="s">
        <v>122</v>
      </c>
      <c r="D127" s="50"/>
      <c r="E127" s="50"/>
      <c r="F127" s="20" t="s">
        <v>26</v>
      </c>
      <c r="G127" s="161" t="s">
        <v>196</v>
      </c>
      <c r="H127" s="164" t="s">
        <v>652</v>
      </c>
      <c r="J127" s="176" t="b">
        <f>EXACT(G127,'Vh5205_C-85'!G127)</f>
        <v>1</v>
      </c>
    </row>
    <row r="128" spans="1:10" x14ac:dyDescent="0.35">
      <c r="A128" s="90">
        <v>125</v>
      </c>
      <c r="B128" s="5" t="s">
        <v>704</v>
      </c>
      <c r="C128" s="149" t="s">
        <v>137</v>
      </c>
      <c r="D128" s="149"/>
      <c r="E128" s="149"/>
      <c r="F128" s="19" t="s">
        <v>26</v>
      </c>
      <c r="G128" s="192" t="s">
        <v>359</v>
      </c>
      <c r="H128" s="164" t="s">
        <v>652</v>
      </c>
      <c r="J128" s="176" t="b">
        <f>EXACT(G128,'Vh5205_C-85'!G128)</f>
        <v>1</v>
      </c>
    </row>
    <row r="129" spans="1:10" s="7" customFormat="1" x14ac:dyDescent="0.35">
      <c r="A129" s="90">
        <v>126</v>
      </c>
      <c r="B129" s="146" t="s">
        <v>704</v>
      </c>
      <c r="C129" s="50" t="s">
        <v>120</v>
      </c>
      <c r="D129" s="50"/>
      <c r="E129" s="50"/>
      <c r="F129" s="20" t="s">
        <v>26</v>
      </c>
      <c r="G129" s="161" t="s">
        <v>490</v>
      </c>
      <c r="H129" s="164" t="s">
        <v>652</v>
      </c>
      <c r="J129" s="176" t="b">
        <f>EXACT(G129,'Vh5205_C-85'!G129)</f>
        <v>1</v>
      </c>
    </row>
    <row r="130" spans="1:10" s="7" customFormat="1" x14ac:dyDescent="0.35">
      <c r="A130" s="90">
        <v>127</v>
      </c>
      <c r="B130" s="104" t="s">
        <v>704</v>
      </c>
      <c r="C130" s="158" t="s">
        <v>161</v>
      </c>
      <c r="D130" s="50"/>
      <c r="E130" s="50"/>
      <c r="F130" s="20" t="s">
        <v>79</v>
      </c>
      <c r="G130" s="161" t="s">
        <v>539</v>
      </c>
      <c r="H130" s="164" t="s">
        <v>652</v>
      </c>
      <c r="J130" s="176" t="b">
        <f>EXACT(G130,'Vh5205_C-85'!G130)</f>
        <v>1</v>
      </c>
    </row>
    <row r="131" spans="1:10" s="7" customFormat="1" ht="31" x14ac:dyDescent="0.35">
      <c r="A131" s="90">
        <v>128</v>
      </c>
      <c r="B131" s="104" t="s">
        <v>704</v>
      </c>
      <c r="C131" s="158" t="s">
        <v>358</v>
      </c>
      <c r="D131" s="50"/>
      <c r="E131" s="50"/>
      <c r="F131" s="20" t="s">
        <v>26</v>
      </c>
      <c r="G131" s="195" t="s">
        <v>530</v>
      </c>
      <c r="H131" s="177"/>
      <c r="J131" s="1" t="b">
        <f>EXACT(G131,'Vh5205_C-85'!G131)</f>
        <v>1</v>
      </c>
    </row>
    <row r="132" spans="1:10" s="7" customFormat="1" x14ac:dyDescent="0.35">
      <c r="A132" s="90">
        <v>129</v>
      </c>
      <c r="B132" s="104" t="s">
        <v>704</v>
      </c>
      <c r="C132" s="158" t="s">
        <v>271</v>
      </c>
      <c r="D132" s="50"/>
      <c r="E132" s="50"/>
      <c r="F132" s="20" t="s">
        <v>26</v>
      </c>
      <c r="G132" s="161" t="s">
        <v>504</v>
      </c>
      <c r="H132" s="177" t="s">
        <v>652</v>
      </c>
      <c r="J132" s="176" t="b">
        <f>EXACT(G132,'Vh5205_C-85'!G132)</f>
        <v>1</v>
      </c>
    </row>
    <row r="133" spans="1:10" ht="46.5" x14ac:dyDescent="0.35">
      <c r="A133" s="90">
        <v>130</v>
      </c>
      <c r="B133" s="91" t="s">
        <v>704</v>
      </c>
      <c r="C133" s="159" t="s">
        <v>315</v>
      </c>
      <c r="D133" s="149"/>
      <c r="E133" s="149" t="s">
        <v>85</v>
      </c>
      <c r="F133" s="19" t="s">
        <v>79</v>
      </c>
      <c r="G133" s="198" t="s">
        <v>525</v>
      </c>
      <c r="H133" s="177" t="s">
        <v>652</v>
      </c>
      <c r="J133" s="176" t="b">
        <f>EXACT(G133,'Vh5205_C-85'!G133)</f>
        <v>1</v>
      </c>
    </row>
    <row r="134" spans="1:10" s="7" customFormat="1" x14ac:dyDescent="0.35">
      <c r="A134" s="90">
        <v>131</v>
      </c>
      <c r="B134" s="146" t="s">
        <v>704</v>
      </c>
      <c r="C134" s="50" t="s">
        <v>121</v>
      </c>
      <c r="D134" s="50"/>
      <c r="E134" s="50" t="s">
        <v>85</v>
      </c>
      <c r="F134" s="20" t="s">
        <v>26</v>
      </c>
      <c r="G134" s="161" t="s">
        <v>491</v>
      </c>
      <c r="H134" s="177" t="s">
        <v>652</v>
      </c>
      <c r="J134" s="176" t="b">
        <f>EXACT(G134,'Vh5205_C-85'!G134)</f>
        <v>1</v>
      </c>
    </row>
    <row r="135" spans="1:10" x14ac:dyDescent="0.35">
      <c r="A135" s="90">
        <v>132</v>
      </c>
      <c r="B135" s="5" t="s">
        <v>704</v>
      </c>
      <c r="C135" s="149" t="s">
        <v>165</v>
      </c>
      <c r="D135" s="149"/>
      <c r="E135" s="149"/>
      <c r="F135" s="19" t="s">
        <v>26</v>
      </c>
      <c r="G135" s="192" t="s">
        <v>540</v>
      </c>
      <c r="H135" s="177" t="s">
        <v>652</v>
      </c>
      <c r="J135" s="176" t="b">
        <f>EXACT(G135,'Vh5205_C-85'!G135)</f>
        <v>1</v>
      </c>
    </row>
    <row r="136" spans="1:10" x14ac:dyDescent="0.35">
      <c r="A136" s="90">
        <v>133</v>
      </c>
      <c r="B136" s="5" t="s">
        <v>704</v>
      </c>
      <c r="C136" s="149" t="s">
        <v>166</v>
      </c>
      <c r="D136" s="149"/>
      <c r="E136" s="149"/>
      <c r="F136" s="19" t="s">
        <v>26</v>
      </c>
      <c r="G136" s="161">
        <v>3</v>
      </c>
      <c r="H136" s="177" t="s">
        <v>652</v>
      </c>
      <c r="J136" s="176" t="b">
        <f>EXACT(G136,'Vh5205_C-85'!G136)</f>
        <v>1</v>
      </c>
    </row>
    <row r="137" spans="1:10" x14ac:dyDescent="0.35">
      <c r="A137" s="90">
        <v>134</v>
      </c>
      <c r="B137" s="5" t="s">
        <v>704</v>
      </c>
      <c r="C137" s="149" t="s">
        <v>141</v>
      </c>
      <c r="D137" s="149"/>
      <c r="E137" s="149"/>
      <c r="F137" s="19" t="s">
        <v>26</v>
      </c>
      <c r="G137" s="161" t="s">
        <v>522</v>
      </c>
      <c r="H137" s="177" t="s">
        <v>652</v>
      </c>
      <c r="J137" s="176" t="b">
        <f>EXACT(G137,'Vh5205_C-85'!G137)</f>
        <v>1</v>
      </c>
    </row>
    <row r="138" spans="1:10" s="7" customFormat="1" x14ac:dyDescent="0.35">
      <c r="A138" s="90"/>
      <c r="B138" s="114" t="s">
        <v>704</v>
      </c>
      <c r="C138" s="114"/>
      <c r="D138" s="87"/>
      <c r="E138" s="87"/>
      <c r="F138" s="21"/>
      <c r="G138" s="196"/>
      <c r="H138" s="180"/>
      <c r="J138" s="1" t="b">
        <f>EXACT(G138,'Vh5205_C-85'!G138)</f>
        <v>1</v>
      </c>
    </row>
    <row r="139" spans="1:10" s="7" customFormat="1" x14ac:dyDescent="0.35">
      <c r="A139" s="90">
        <v>135</v>
      </c>
      <c r="B139" s="10" t="s">
        <v>705</v>
      </c>
      <c r="C139" s="156" t="s">
        <v>142</v>
      </c>
      <c r="D139" s="50"/>
      <c r="E139" s="50"/>
      <c r="F139" s="20" t="s">
        <v>26</v>
      </c>
      <c r="G139" s="192" t="s">
        <v>196</v>
      </c>
      <c r="H139" s="177" t="s">
        <v>652</v>
      </c>
      <c r="J139" s="176" t="b">
        <f>EXACT(G139,'Vh5205_C-85'!G139)</f>
        <v>1</v>
      </c>
    </row>
    <row r="140" spans="1:10" x14ac:dyDescent="0.35">
      <c r="A140" s="90">
        <v>136</v>
      </c>
      <c r="B140" s="5" t="s">
        <v>705</v>
      </c>
      <c r="C140" s="149" t="s">
        <v>138</v>
      </c>
      <c r="D140" s="149"/>
      <c r="E140" s="149"/>
      <c r="F140" s="19" t="s">
        <v>79</v>
      </c>
      <c r="G140" s="161" t="s">
        <v>526</v>
      </c>
      <c r="H140" s="177" t="s">
        <v>652</v>
      </c>
      <c r="J140" s="176" t="b">
        <f>EXACT(G140,'Vh5205_C-85'!G140)</f>
        <v>1</v>
      </c>
    </row>
    <row r="141" spans="1:10" x14ac:dyDescent="0.35">
      <c r="A141" s="90">
        <v>137</v>
      </c>
      <c r="B141" s="104" t="s">
        <v>705</v>
      </c>
      <c r="C141" s="158" t="s">
        <v>161</v>
      </c>
      <c r="D141" s="158"/>
      <c r="E141" s="158"/>
      <c r="F141" s="19" t="s">
        <v>79</v>
      </c>
      <c r="G141" s="161" t="s">
        <v>539</v>
      </c>
      <c r="H141" s="177" t="s">
        <v>652</v>
      </c>
      <c r="J141" s="176" t="b">
        <f>EXACT(G141,'Vh5205_C-85'!G141)</f>
        <v>1</v>
      </c>
    </row>
    <row r="142" spans="1:10" x14ac:dyDescent="0.35">
      <c r="A142" s="90">
        <v>138</v>
      </c>
      <c r="B142" s="104" t="s">
        <v>705</v>
      </c>
      <c r="C142" s="158" t="s">
        <v>358</v>
      </c>
      <c r="D142" s="158"/>
      <c r="E142" s="158"/>
      <c r="F142" s="20" t="s">
        <v>26</v>
      </c>
      <c r="G142" s="195">
        <v>45155</v>
      </c>
      <c r="H142" s="140"/>
      <c r="J142" s="1" t="b">
        <f>EXACT(G142,'Vh5205_C-85'!G142)</f>
        <v>1</v>
      </c>
    </row>
    <row r="143" spans="1:10" x14ac:dyDescent="0.35">
      <c r="A143" s="90">
        <v>139</v>
      </c>
      <c r="B143" s="104" t="s">
        <v>705</v>
      </c>
      <c r="C143" s="158" t="s">
        <v>271</v>
      </c>
      <c r="D143" s="158"/>
      <c r="E143" s="158"/>
      <c r="F143" s="20" t="s">
        <v>26</v>
      </c>
      <c r="G143" s="161" t="s">
        <v>492</v>
      </c>
      <c r="H143" s="177" t="s">
        <v>652</v>
      </c>
      <c r="J143" s="176" t="b">
        <f>EXACT(G143,'Vh5205_C-85'!G143)</f>
        <v>1</v>
      </c>
    </row>
    <row r="144" spans="1:10" x14ac:dyDescent="0.35">
      <c r="A144" s="90">
        <v>140</v>
      </c>
      <c r="B144" s="5" t="s">
        <v>705</v>
      </c>
      <c r="C144" s="149" t="s">
        <v>137</v>
      </c>
      <c r="D144" s="149"/>
      <c r="E144" s="149"/>
      <c r="F144" s="19" t="s">
        <v>26</v>
      </c>
      <c r="G144" s="161" t="s">
        <v>493</v>
      </c>
      <c r="H144" s="177" t="s">
        <v>652</v>
      </c>
      <c r="J144" s="176" t="b">
        <f>EXACT(G144,'Vh5205_C-85'!G144)</f>
        <v>1</v>
      </c>
    </row>
    <row r="145" spans="1:10" x14ac:dyDescent="0.35">
      <c r="A145" s="90">
        <v>141</v>
      </c>
      <c r="B145" s="146" t="s">
        <v>705</v>
      </c>
      <c r="C145" s="50" t="s">
        <v>120</v>
      </c>
      <c r="D145" s="50"/>
      <c r="E145" s="50"/>
      <c r="F145" s="19" t="s">
        <v>26</v>
      </c>
      <c r="G145" s="161" t="s">
        <v>273</v>
      </c>
      <c r="H145" s="177" t="s">
        <v>652</v>
      </c>
      <c r="J145" s="176" t="b">
        <f>EXACT(G145,'Vh5205_C-85'!G145)</f>
        <v>1</v>
      </c>
    </row>
    <row r="146" spans="1:10" x14ac:dyDescent="0.35">
      <c r="A146" s="90">
        <v>142</v>
      </c>
      <c r="B146" s="91" t="s">
        <v>705</v>
      </c>
      <c r="C146" s="159" t="s">
        <v>315</v>
      </c>
      <c r="D146" s="149"/>
      <c r="E146" s="149" t="s">
        <v>85</v>
      </c>
      <c r="F146" s="19" t="s">
        <v>79</v>
      </c>
      <c r="G146" s="198" t="s">
        <v>531</v>
      </c>
      <c r="H146" s="140"/>
      <c r="J146" s="1" t="b">
        <f>EXACT(G146,'Vh5205_C-85'!G146)</f>
        <v>1</v>
      </c>
    </row>
    <row r="147" spans="1:10" x14ac:dyDescent="0.35">
      <c r="A147" s="90">
        <v>143</v>
      </c>
      <c r="B147" s="87" t="s">
        <v>705</v>
      </c>
      <c r="C147" s="87" t="s">
        <v>121</v>
      </c>
      <c r="D147" s="93"/>
      <c r="E147" s="87" t="s">
        <v>85</v>
      </c>
      <c r="F147" s="22" t="s">
        <v>26</v>
      </c>
      <c r="G147" s="196" t="s">
        <v>274</v>
      </c>
      <c r="H147" s="180" t="s">
        <v>652</v>
      </c>
      <c r="J147" s="176" t="b">
        <f>EXACT(G147,'Vh5205_C-85'!G147)</f>
        <v>1</v>
      </c>
    </row>
    <row r="148" spans="1:10" x14ac:dyDescent="0.35">
      <c r="A148" s="90">
        <v>144</v>
      </c>
      <c r="B148" s="111" t="s">
        <v>706</v>
      </c>
      <c r="C148" s="111" t="s">
        <v>287</v>
      </c>
      <c r="D148" s="111"/>
      <c r="E148" s="111"/>
      <c r="F148" s="18" t="s">
        <v>26</v>
      </c>
      <c r="G148" s="197" t="s">
        <v>281</v>
      </c>
      <c r="H148" s="177" t="s">
        <v>652</v>
      </c>
      <c r="J148" s="176" t="b">
        <f>EXACT(G148,'Vh5205_C-85'!G148)</f>
        <v>1</v>
      </c>
    </row>
    <row r="149" spans="1:10" x14ac:dyDescent="0.35">
      <c r="A149" s="90">
        <v>145</v>
      </c>
      <c r="B149" s="5" t="s">
        <v>706</v>
      </c>
      <c r="C149" s="149" t="s">
        <v>366</v>
      </c>
      <c r="D149" s="149"/>
      <c r="E149" s="149"/>
      <c r="F149" s="19" t="s">
        <v>26</v>
      </c>
      <c r="G149" s="161" t="s">
        <v>288</v>
      </c>
      <c r="H149" s="177" t="s">
        <v>652</v>
      </c>
      <c r="J149" s="176" t="b">
        <f>EXACT(G149,'Vh5205_C-85'!G149)</f>
        <v>1</v>
      </c>
    </row>
    <row r="150" spans="1:10" x14ac:dyDescent="0.35">
      <c r="A150" s="90">
        <v>146</v>
      </c>
      <c r="B150" s="93" t="s">
        <v>706</v>
      </c>
      <c r="C150" s="93" t="s">
        <v>367</v>
      </c>
      <c r="D150" s="93"/>
      <c r="E150" s="93"/>
      <c r="F150" s="22" t="s">
        <v>26</v>
      </c>
      <c r="G150" s="194" t="s">
        <v>524</v>
      </c>
      <c r="H150" s="180" t="s">
        <v>652</v>
      </c>
      <c r="J150" s="176" t="b">
        <f>EXACT(G150,'Vh5205_C-85'!G150)</f>
        <v>1</v>
      </c>
    </row>
    <row r="151" spans="1:10" s="7" customFormat="1" x14ac:dyDescent="0.35">
      <c r="A151" s="90">
        <v>147</v>
      </c>
      <c r="B151" s="100" t="s">
        <v>707</v>
      </c>
      <c r="C151" s="100" t="s">
        <v>169</v>
      </c>
      <c r="D151" s="50"/>
      <c r="E151" s="50"/>
      <c r="F151" s="19" t="s">
        <v>26</v>
      </c>
      <c r="G151" s="206" t="s">
        <v>541</v>
      </c>
      <c r="H151" s="177" t="s">
        <v>652</v>
      </c>
      <c r="J151" s="176" t="b">
        <f>EXACT(G151,'Vh5205_C-85'!G151)</f>
        <v>1</v>
      </c>
    </row>
    <row r="152" spans="1:10" s="7" customFormat="1" x14ac:dyDescent="0.35">
      <c r="A152" s="90">
        <v>148</v>
      </c>
      <c r="B152" s="146" t="s">
        <v>707</v>
      </c>
      <c r="C152" s="50" t="s">
        <v>192</v>
      </c>
      <c r="D152" s="50"/>
      <c r="E152" s="50"/>
      <c r="F152" s="19" t="s">
        <v>26</v>
      </c>
      <c r="G152" s="192" t="s">
        <v>542</v>
      </c>
      <c r="H152" s="177" t="s">
        <v>652</v>
      </c>
      <c r="J152" s="176" t="b">
        <f>EXACT(G152,'Vh5205_C-85'!G152)</f>
        <v>1</v>
      </c>
    </row>
    <row r="153" spans="1:10" s="7" customFormat="1" x14ac:dyDescent="0.35">
      <c r="A153" s="90">
        <v>149</v>
      </c>
      <c r="B153" s="146" t="s">
        <v>707</v>
      </c>
      <c r="C153" s="50" t="s">
        <v>170</v>
      </c>
      <c r="D153" s="50"/>
      <c r="E153" s="50"/>
      <c r="F153" s="19" t="s">
        <v>26</v>
      </c>
      <c r="G153" s="192" t="s">
        <v>275</v>
      </c>
      <c r="H153" s="177" t="s">
        <v>652</v>
      </c>
      <c r="J153" s="176" t="b">
        <f>EXACT(G153,'Vh5205_C-85'!G153)</f>
        <v>1</v>
      </c>
    </row>
    <row r="154" spans="1:10" s="7" customFormat="1" x14ac:dyDescent="0.35">
      <c r="A154" s="90">
        <v>150</v>
      </c>
      <c r="B154" s="146" t="s">
        <v>707</v>
      </c>
      <c r="C154" s="50" t="s">
        <v>280</v>
      </c>
      <c r="D154" s="50"/>
      <c r="E154" s="50"/>
      <c r="F154" s="19" t="s">
        <v>79</v>
      </c>
      <c r="G154" s="161" t="s">
        <v>494</v>
      </c>
      <c r="H154" s="177" t="s">
        <v>652</v>
      </c>
      <c r="J154" s="176" t="b">
        <f>EXACT(G154,'Vh5205_C-85'!G154)</f>
        <v>1</v>
      </c>
    </row>
    <row r="155" spans="1:10" s="7" customFormat="1" x14ac:dyDescent="0.35">
      <c r="A155" s="90">
        <v>151</v>
      </c>
      <c r="B155" s="146" t="s">
        <v>707</v>
      </c>
      <c r="C155" s="50" t="s">
        <v>44</v>
      </c>
      <c r="D155" s="50"/>
      <c r="E155" s="50"/>
      <c r="F155" s="19" t="s">
        <v>79</v>
      </c>
      <c r="G155" s="205" t="s">
        <v>495</v>
      </c>
      <c r="H155" s="177" t="s">
        <v>652</v>
      </c>
      <c r="J155" s="176" t="b">
        <f>EXACT(G155,'Vh5205_C-85'!G155)</f>
        <v>1</v>
      </c>
    </row>
    <row r="156" spans="1:10" s="7" customFormat="1" x14ac:dyDescent="0.35">
      <c r="A156" s="90">
        <v>152</v>
      </c>
      <c r="B156" s="10" t="s">
        <v>707</v>
      </c>
      <c r="C156" s="156" t="s">
        <v>289</v>
      </c>
      <c r="D156" s="50"/>
      <c r="E156" s="50"/>
      <c r="F156" s="20" t="s">
        <v>79</v>
      </c>
      <c r="G156" s="192" t="s">
        <v>524</v>
      </c>
      <c r="H156" s="177" t="s">
        <v>652</v>
      </c>
      <c r="J156" s="176" t="b">
        <f>EXACT(G156,'Vh5205_C-85'!G156)</f>
        <v>1</v>
      </c>
    </row>
    <row r="157" spans="1:10" s="7" customFormat="1" x14ac:dyDescent="0.35">
      <c r="A157" s="90">
        <v>153</v>
      </c>
      <c r="B157" s="146" t="s">
        <v>707</v>
      </c>
      <c r="C157" s="50" t="s">
        <v>279</v>
      </c>
      <c r="D157" s="50"/>
      <c r="E157" s="50"/>
      <c r="F157" s="19" t="s">
        <v>79</v>
      </c>
      <c r="G157" s="192" t="s">
        <v>385</v>
      </c>
      <c r="H157" s="177" t="s">
        <v>652</v>
      </c>
      <c r="J157" s="176" t="b">
        <f>EXACT(G157,'Vh5205_C-85'!G157)</f>
        <v>1</v>
      </c>
    </row>
    <row r="158" spans="1:10" s="7" customFormat="1" x14ac:dyDescent="0.35">
      <c r="A158" s="90">
        <v>154</v>
      </c>
      <c r="B158" s="10" t="s">
        <v>707</v>
      </c>
      <c r="C158" s="156" t="s">
        <v>31</v>
      </c>
      <c r="D158" s="50"/>
      <c r="E158" s="50" t="s">
        <v>194</v>
      </c>
      <c r="F158" s="19" t="s">
        <v>26</v>
      </c>
      <c r="G158" s="199" t="s">
        <v>496</v>
      </c>
      <c r="H158" s="177" t="s">
        <v>652</v>
      </c>
      <c r="J158" s="176" t="b">
        <f>EXACT(G158,'Vh5205_C-85'!G158)</f>
        <v>1</v>
      </c>
    </row>
    <row r="159" spans="1:10" s="7" customFormat="1" x14ac:dyDescent="0.35">
      <c r="A159" s="90">
        <v>155</v>
      </c>
      <c r="B159" s="10" t="s">
        <v>707</v>
      </c>
      <c r="C159" s="156" t="s">
        <v>32</v>
      </c>
      <c r="D159" s="50"/>
      <c r="E159" s="50" t="s">
        <v>586</v>
      </c>
      <c r="F159" s="19" t="s">
        <v>26</v>
      </c>
      <c r="G159" s="198" t="s">
        <v>497</v>
      </c>
      <c r="H159" s="177" t="s">
        <v>652</v>
      </c>
      <c r="J159" s="176" t="b">
        <f>EXACT(G159,'Vh5205_C-85'!G159)</f>
        <v>1</v>
      </c>
    </row>
    <row r="160" spans="1:10" s="7" customFormat="1" x14ac:dyDescent="0.35">
      <c r="A160" s="90">
        <v>156</v>
      </c>
      <c r="B160" s="10" t="s">
        <v>707</v>
      </c>
      <c r="C160" s="156" t="s">
        <v>291</v>
      </c>
      <c r="D160" s="50"/>
      <c r="E160" s="50" t="s">
        <v>2</v>
      </c>
      <c r="F160" s="19" t="s">
        <v>26</v>
      </c>
      <c r="G160" s="192">
        <v>25</v>
      </c>
      <c r="H160" s="177" t="s">
        <v>652</v>
      </c>
      <c r="J160" s="176" t="b">
        <f>EXACT(G160,'Vh5205_C-85'!G160)</f>
        <v>1</v>
      </c>
    </row>
    <row r="161" spans="1:10" s="7" customFormat="1" x14ac:dyDescent="0.35">
      <c r="A161" s="90">
        <v>157</v>
      </c>
      <c r="B161" s="146" t="s">
        <v>707</v>
      </c>
      <c r="C161" s="50" t="s">
        <v>293</v>
      </c>
      <c r="D161" s="50"/>
      <c r="E161" s="50"/>
      <c r="F161" s="20" t="s">
        <v>26</v>
      </c>
      <c r="G161" s="192" t="s">
        <v>196</v>
      </c>
      <c r="H161" s="177" t="s">
        <v>652</v>
      </c>
      <c r="J161" s="176" t="b">
        <f>EXACT(G161,'Vh5205_C-85'!G161)</f>
        <v>1</v>
      </c>
    </row>
    <row r="162" spans="1:10" s="7" customFormat="1" x14ac:dyDescent="0.35">
      <c r="A162" s="90">
        <v>158</v>
      </c>
      <c r="B162" s="104" t="s">
        <v>707</v>
      </c>
      <c r="C162" s="158" t="s">
        <v>161</v>
      </c>
      <c r="D162" s="158"/>
      <c r="E162" s="158"/>
      <c r="F162" s="20" t="s">
        <v>79</v>
      </c>
      <c r="G162" s="161" t="s">
        <v>539</v>
      </c>
      <c r="H162" s="177" t="s">
        <v>652</v>
      </c>
      <c r="J162" s="176" t="b">
        <f>EXACT(G162,'Vh5205_C-85'!G162)</f>
        <v>1</v>
      </c>
    </row>
    <row r="163" spans="1:10" x14ac:dyDescent="0.35">
      <c r="A163" s="90">
        <v>159</v>
      </c>
      <c r="B163" s="104" t="s">
        <v>707</v>
      </c>
      <c r="C163" s="158" t="s">
        <v>358</v>
      </c>
      <c r="D163" s="158"/>
      <c r="E163" s="158"/>
      <c r="F163" s="20" t="s">
        <v>26</v>
      </c>
      <c r="G163" s="195">
        <v>45104</v>
      </c>
      <c r="H163" s="140"/>
      <c r="J163" s="2" t="b">
        <f>EXACT(G163,'Vh5205_C-85'!G163)</f>
        <v>1</v>
      </c>
    </row>
    <row r="164" spans="1:10" x14ac:dyDescent="0.35">
      <c r="A164" s="90">
        <v>160</v>
      </c>
      <c r="B164" s="104" t="s">
        <v>707</v>
      </c>
      <c r="C164" s="158" t="s">
        <v>271</v>
      </c>
      <c r="D164" s="158"/>
      <c r="E164" s="158"/>
      <c r="F164" s="20" t="s">
        <v>26</v>
      </c>
      <c r="G164" s="161" t="s">
        <v>492</v>
      </c>
      <c r="H164" s="177" t="s">
        <v>652</v>
      </c>
      <c r="J164" s="176" t="b">
        <f>EXACT(G164,'Vh5205_C-85'!G164)</f>
        <v>1</v>
      </c>
    </row>
    <row r="165" spans="1:10" s="7" customFormat="1" x14ac:dyDescent="0.35">
      <c r="A165" s="90">
        <v>161</v>
      </c>
      <c r="B165" s="146" t="s">
        <v>707</v>
      </c>
      <c r="C165" s="50" t="s">
        <v>119</v>
      </c>
      <c r="D165" s="50"/>
      <c r="E165" s="50"/>
      <c r="F165" s="20" t="s">
        <v>26</v>
      </c>
      <c r="G165" s="161">
        <v>1</v>
      </c>
      <c r="H165" s="177" t="s">
        <v>652</v>
      </c>
      <c r="J165" s="176" t="b">
        <f>EXACT(G165,'Vh5205_C-85'!G165)</f>
        <v>1</v>
      </c>
    </row>
    <row r="166" spans="1:10" s="7" customFormat="1" x14ac:dyDescent="0.35">
      <c r="A166" s="90">
        <v>162</v>
      </c>
      <c r="B166" s="146" t="s">
        <v>707</v>
      </c>
      <c r="C166" s="50" t="s">
        <v>145</v>
      </c>
      <c r="D166" s="50"/>
      <c r="E166" s="156" t="s">
        <v>171</v>
      </c>
      <c r="F166" s="20" t="s">
        <v>26</v>
      </c>
      <c r="G166" s="161" t="s">
        <v>543</v>
      </c>
      <c r="H166" s="177" t="s">
        <v>652</v>
      </c>
      <c r="J166" s="176" t="b">
        <f>EXACT(G166,'Vh5205_C-85'!G166)</f>
        <v>1</v>
      </c>
    </row>
    <row r="167" spans="1:10" s="7" customFormat="1" x14ac:dyDescent="0.35">
      <c r="A167" s="90">
        <v>163</v>
      </c>
      <c r="B167" s="87" t="s">
        <v>707</v>
      </c>
      <c r="C167" s="87" t="s">
        <v>120</v>
      </c>
      <c r="D167" s="87"/>
      <c r="E167" s="87"/>
      <c r="F167" s="21" t="s">
        <v>26</v>
      </c>
      <c r="G167" s="194" t="s">
        <v>276</v>
      </c>
      <c r="H167" s="180" t="s">
        <v>652</v>
      </c>
      <c r="J167" s="176" t="b">
        <f>EXACT(G167,'Vh5205_C-85'!G167)</f>
        <v>1</v>
      </c>
    </row>
    <row r="168" spans="1:10" s="7" customFormat="1" x14ac:dyDescent="0.35">
      <c r="A168" s="90"/>
      <c r="B168" s="10" t="s">
        <v>708</v>
      </c>
      <c r="C168" s="156"/>
      <c r="D168" s="50"/>
      <c r="E168" s="50"/>
      <c r="F168" s="20"/>
      <c r="G168" s="208"/>
      <c r="H168" s="180"/>
      <c r="J168" s="1" t="b">
        <f>EXACT(G168,'Vh5205_C-85'!G168)</f>
        <v>1</v>
      </c>
    </row>
    <row r="169" spans="1:10" s="7" customFormat="1" ht="46.5" x14ac:dyDescent="0.35">
      <c r="A169" s="90">
        <v>164</v>
      </c>
      <c r="B169" s="102" t="s">
        <v>709</v>
      </c>
      <c r="C169" s="102" t="s">
        <v>588</v>
      </c>
      <c r="D169" s="100"/>
      <c r="E169" s="100"/>
      <c r="F169" s="18" t="s">
        <v>26</v>
      </c>
      <c r="G169" s="197" t="s">
        <v>657</v>
      </c>
      <c r="H169" s="177" t="s">
        <v>652</v>
      </c>
      <c r="J169" s="176" t="b">
        <f>EXACT(G169,'Vh5205_C-85'!G169)</f>
        <v>1</v>
      </c>
    </row>
    <row r="170" spans="1:10" s="7" customFormat="1" ht="31" x14ac:dyDescent="0.35">
      <c r="A170" s="90">
        <v>165</v>
      </c>
      <c r="B170" s="10" t="s">
        <v>709</v>
      </c>
      <c r="C170" s="156" t="s">
        <v>589</v>
      </c>
      <c r="D170" s="50"/>
      <c r="E170" s="50"/>
      <c r="F170" s="23" t="s">
        <v>26</v>
      </c>
      <c r="G170" s="161" t="s">
        <v>622</v>
      </c>
      <c r="H170" s="177" t="s">
        <v>652</v>
      </c>
      <c r="J170" s="176" t="b">
        <f>EXACT(G170,'Vh5205_C-85'!G170)</f>
        <v>1</v>
      </c>
    </row>
    <row r="171" spans="1:10" s="7" customFormat="1" ht="17.5" x14ac:dyDescent="0.35">
      <c r="A171" s="90">
        <v>166</v>
      </c>
      <c r="B171" s="10" t="s">
        <v>709</v>
      </c>
      <c r="C171" s="156" t="s">
        <v>498</v>
      </c>
      <c r="D171" s="50"/>
      <c r="E171" s="50"/>
      <c r="F171" s="23" t="s">
        <v>26</v>
      </c>
      <c r="G171" s="161" t="s">
        <v>658</v>
      </c>
      <c r="H171" s="177" t="s">
        <v>652</v>
      </c>
      <c r="J171" s="176" t="b">
        <f>EXACT(G171,'Vh5205_C-85'!G171)</f>
        <v>1</v>
      </c>
    </row>
    <row r="172" spans="1:10" s="7" customFormat="1" x14ac:dyDescent="0.35">
      <c r="A172" s="90">
        <v>167</v>
      </c>
      <c r="B172" s="10" t="s">
        <v>709</v>
      </c>
      <c r="C172" s="156" t="s">
        <v>313</v>
      </c>
      <c r="D172" s="50"/>
      <c r="E172" s="50"/>
      <c r="F172" s="19" t="s">
        <v>26</v>
      </c>
      <c r="G172" s="192" t="s">
        <v>48</v>
      </c>
      <c r="H172" s="177" t="s">
        <v>652</v>
      </c>
      <c r="J172" s="176" t="b">
        <f>EXACT(G172,'Vh5205_C-85'!G172)</f>
        <v>1</v>
      </c>
    </row>
    <row r="173" spans="1:10" s="7" customFormat="1" x14ac:dyDescent="0.35">
      <c r="A173" s="90">
        <v>168</v>
      </c>
      <c r="B173" s="146" t="s">
        <v>709</v>
      </c>
      <c r="C173" s="50" t="s">
        <v>306</v>
      </c>
      <c r="D173" s="50"/>
      <c r="E173" s="50"/>
      <c r="F173" s="19" t="s">
        <v>26</v>
      </c>
      <c r="G173" s="192" t="s">
        <v>524</v>
      </c>
      <c r="H173" s="177" t="s">
        <v>652</v>
      </c>
      <c r="J173" s="176" t="b">
        <f>EXACT(G173,'Vh5205_C-85'!G173)</f>
        <v>1</v>
      </c>
    </row>
    <row r="174" spans="1:10" s="7" customFormat="1" x14ac:dyDescent="0.35">
      <c r="A174" s="90">
        <v>169</v>
      </c>
      <c r="B174" s="87" t="s">
        <v>709</v>
      </c>
      <c r="C174" s="87" t="s">
        <v>307</v>
      </c>
      <c r="D174" s="87"/>
      <c r="E174" s="87"/>
      <c r="F174" s="22" t="s">
        <v>79</v>
      </c>
      <c r="G174" s="196"/>
      <c r="H174" s="180"/>
      <c r="J174" s="1" t="b">
        <f>EXACT(G174,'Vh5205_C-85'!G174)</f>
        <v>1</v>
      </c>
    </row>
    <row r="175" spans="1:10" s="7" customFormat="1" x14ac:dyDescent="0.35">
      <c r="A175" s="90">
        <v>170</v>
      </c>
      <c r="B175" s="146" t="s">
        <v>710</v>
      </c>
      <c r="C175" s="50" t="s">
        <v>10</v>
      </c>
      <c r="D175" s="50" t="s">
        <v>146</v>
      </c>
      <c r="E175" s="50" t="s">
        <v>2</v>
      </c>
      <c r="F175" s="19" t="s">
        <v>26</v>
      </c>
      <c r="G175" s="209">
        <v>5.99</v>
      </c>
      <c r="H175" s="177"/>
      <c r="J175" s="1" t="b">
        <f>EXACT(G175,'Vh5205_C-85'!G175)</f>
        <v>0</v>
      </c>
    </row>
    <row r="176" spans="1:10" s="7" customFormat="1" ht="17.5" x14ac:dyDescent="0.35">
      <c r="A176" s="90">
        <v>171</v>
      </c>
      <c r="B176" s="146" t="s">
        <v>710</v>
      </c>
      <c r="C176" s="50" t="s">
        <v>11</v>
      </c>
      <c r="D176" s="50" t="s">
        <v>591</v>
      </c>
      <c r="E176" s="50" t="s">
        <v>2</v>
      </c>
      <c r="F176" s="19" t="s">
        <v>26</v>
      </c>
      <c r="G176" s="210">
        <v>24</v>
      </c>
      <c r="H176" s="177"/>
      <c r="J176" s="1" t="b">
        <f>EXACT(G176,'Vh5205_C-85'!G176)</f>
        <v>1</v>
      </c>
    </row>
    <row r="177" spans="1:10" s="7" customFormat="1" ht="17.5" x14ac:dyDescent="0.35">
      <c r="A177" s="90">
        <v>172</v>
      </c>
      <c r="B177" s="146" t="s">
        <v>710</v>
      </c>
      <c r="C177" s="50" t="s">
        <v>439</v>
      </c>
      <c r="D177" s="50" t="s">
        <v>592</v>
      </c>
      <c r="E177" s="50" t="s">
        <v>2</v>
      </c>
      <c r="F177" s="19" t="s">
        <v>26</v>
      </c>
      <c r="G177" s="192">
        <v>36</v>
      </c>
      <c r="H177" s="177" t="s">
        <v>652</v>
      </c>
      <c r="J177" s="176" t="b">
        <f>EXACT(G177,'Vh5205_C-85'!G177)</f>
        <v>1</v>
      </c>
    </row>
    <row r="178" spans="1:10" s="7" customFormat="1" x14ac:dyDescent="0.35">
      <c r="A178" s="90">
        <v>173</v>
      </c>
      <c r="B178" s="10" t="s">
        <v>710</v>
      </c>
      <c r="C178" s="156" t="s">
        <v>28</v>
      </c>
      <c r="D178" s="50" t="s">
        <v>593</v>
      </c>
      <c r="E178" s="50" t="s">
        <v>2</v>
      </c>
      <c r="F178" s="19" t="s">
        <v>26</v>
      </c>
      <c r="G178" s="211">
        <v>22.5</v>
      </c>
      <c r="H178" s="177"/>
      <c r="J178" s="1" t="b">
        <f>EXACT(G178,'Vh5205_C-85'!G178)</f>
        <v>0</v>
      </c>
    </row>
    <row r="179" spans="1:10" s="7" customFormat="1" ht="17.5" x14ac:dyDescent="0.35">
      <c r="A179" s="90">
        <v>174</v>
      </c>
      <c r="B179" s="10" t="s">
        <v>710</v>
      </c>
      <c r="C179" s="156" t="s">
        <v>29</v>
      </c>
      <c r="D179" s="156" t="s">
        <v>440</v>
      </c>
      <c r="E179" s="50" t="s">
        <v>2</v>
      </c>
      <c r="F179" s="19" t="s">
        <v>26</v>
      </c>
      <c r="G179" s="210">
        <v>24</v>
      </c>
      <c r="H179" s="177"/>
      <c r="J179" s="1" t="b">
        <f>EXACT(G179,'Vh5205_C-85'!G179)</f>
        <v>1</v>
      </c>
    </row>
    <row r="180" spans="1:10" s="7" customFormat="1" ht="17.5" x14ac:dyDescent="0.35">
      <c r="A180" s="90">
        <v>175</v>
      </c>
      <c r="B180" s="10" t="s">
        <v>710</v>
      </c>
      <c r="C180" s="156" t="s">
        <v>441</v>
      </c>
      <c r="D180" s="156" t="s">
        <v>442</v>
      </c>
      <c r="E180" s="50" t="s">
        <v>2</v>
      </c>
      <c r="F180" s="19" t="s">
        <v>26</v>
      </c>
      <c r="G180" s="192" t="s">
        <v>524</v>
      </c>
      <c r="H180" s="177" t="s">
        <v>652</v>
      </c>
      <c r="J180" s="176" t="b">
        <f>EXACT(G180,'Vh5205_C-85'!G180)</f>
        <v>1</v>
      </c>
    </row>
    <row r="181" spans="1:10" s="7" customFormat="1" ht="17.5" x14ac:dyDescent="0.35">
      <c r="A181" s="90">
        <v>176</v>
      </c>
      <c r="B181" s="10" t="s">
        <v>710</v>
      </c>
      <c r="C181" s="156" t="s">
        <v>30</v>
      </c>
      <c r="D181" s="156" t="s">
        <v>443</v>
      </c>
      <c r="E181" s="50" t="s">
        <v>2</v>
      </c>
      <c r="F181" s="19" t="s">
        <v>26</v>
      </c>
      <c r="G181" s="211">
        <v>22.5</v>
      </c>
      <c r="H181" s="177"/>
      <c r="J181" s="1" t="b">
        <f>EXACT(G181,'Vh5205_C-85'!G181)</f>
        <v>0</v>
      </c>
    </row>
    <row r="182" spans="1:10" s="7" customFormat="1" x14ac:dyDescent="0.35">
      <c r="A182" s="90">
        <v>177</v>
      </c>
      <c r="B182" s="146" t="s">
        <v>710</v>
      </c>
      <c r="C182" s="50" t="s">
        <v>444</v>
      </c>
      <c r="D182" s="156" t="s">
        <v>445</v>
      </c>
      <c r="E182" s="50" t="s">
        <v>2</v>
      </c>
      <c r="F182" s="19" t="s">
        <v>26</v>
      </c>
      <c r="G182" s="211">
        <v>4</v>
      </c>
      <c r="H182" s="177"/>
      <c r="J182" s="1" t="b">
        <f>EXACT(G182,'Vh5205_C-85'!G182)</f>
        <v>1</v>
      </c>
    </row>
    <row r="183" spans="1:10" s="7" customFormat="1" ht="17.5" x14ac:dyDescent="0.35">
      <c r="A183" s="90">
        <v>178</v>
      </c>
      <c r="B183" s="146" t="s">
        <v>710</v>
      </c>
      <c r="C183" s="50" t="s">
        <v>446</v>
      </c>
      <c r="D183" s="156" t="s">
        <v>447</v>
      </c>
      <c r="E183" s="50" t="s">
        <v>2</v>
      </c>
      <c r="F183" s="19" t="s">
        <v>26</v>
      </c>
      <c r="G183" s="203">
        <v>4.5199999999999996</v>
      </c>
      <c r="H183" s="177"/>
      <c r="J183" s="1" t="b">
        <f>EXACT(G183,'Vh5205_C-85'!G183)</f>
        <v>0</v>
      </c>
    </row>
    <row r="184" spans="1:10" s="7" customFormat="1" x14ac:dyDescent="0.35">
      <c r="A184" s="90">
        <v>179</v>
      </c>
      <c r="B184" s="146" t="s">
        <v>710</v>
      </c>
      <c r="C184" s="50" t="s">
        <v>448</v>
      </c>
      <c r="D184" s="156" t="s">
        <v>449</v>
      </c>
      <c r="E184" s="50" t="s">
        <v>2</v>
      </c>
      <c r="F184" s="19" t="s">
        <v>26</v>
      </c>
      <c r="G184" s="192" t="s">
        <v>524</v>
      </c>
      <c r="H184" s="177" t="s">
        <v>652</v>
      </c>
      <c r="J184" s="176" t="b">
        <f>EXACT(G184,'Vh5205_C-85'!G184)</f>
        <v>1</v>
      </c>
    </row>
    <row r="185" spans="1:10" s="7" customFormat="1" ht="17.5" x14ac:dyDescent="0.35">
      <c r="A185" s="90">
        <v>180</v>
      </c>
      <c r="B185" s="146" t="s">
        <v>710</v>
      </c>
      <c r="C185" s="50" t="s">
        <v>450</v>
      </c>
      <c r="D185" s="156" t="s">
        <v>451</v>
      </c>
      <c r="E185" s="50" t="s">
        <v>2</v>
      </c>
      <c r="F185" s="19" t="s">
        <v>26</v>
      </c>
      <c r="G185" s="192" t="s">
        <v>524</v>
      </c>
      <c r="H185" s="177" t="s">
        <v>652</v>
      </c>
      <c r="J185" s="176" t="b">
        <f>EXACT(G185,'Vh5205_C-85'!G185)</f>
        <v>1</v>
      </c>
    </row>
    <row r="186" spans="1:10" s="7" customFormat="1" x14ac:dyDescent="0.35">
      <c r="A186" s="90">
        <v>181</v>
      </c>
      <c r="B186" s="146" t="s">
        <v>710</v>
      </c>
      <c r="C186" s="50" t="s">
        <v>452</v>
      </c>
      <c r="D186" s="156" t="s">
        <v>453</v>
      </c>
      <c r="E186" s="50" t="s">
        <v>2</v>
      </c>
      <c r="F186" s="19" t="s">
        <v>26</v>
      </c>
      <c r="G186" s="211">
        <v>3.8</v>
      </c>
      <c r="H186" s="177"/>
      <c r="J186" s="1" t="b">
        <f>EXACT(G186,'Vh5205_C-85'!G186)</f>
        <v>0</v>
      </c>
    </row>
    <row r="187" spans="1:10" s="7" customFormat="1" ht="17.5" x14ac:dyDescent="0.35">
      <c r="A187" s="90">
        <v>182</v>
      </c>
      <c r="B187" s="87" t="s">
        <v>710</v>
      </c>
      <c r="C187" s="87" t="s">
        <v>454</v>
      </c>
      <c r="D187" s="13" t="s">
        <v>455</v>
      </c>
      <c r="E187" s="87" t="s">
        <v>2</v>
      </c>
      <c r="F187" s="22" t="s">
        <v>26</v>
      </c>
      <c r="G187" s="212">
        <v>4.24</v>
      </c>
      <c r="H187" s="180"/>
      <c r="J187" s="1" t="b">
        <f>EXACT(G187,'Vh5205_C-85'!G187)</f>
        <v>0</v>
      </c>
    </row>
    <row r="188" spans="1:10" s="7" customFormat="1" x14ac:dyDescent="0.35">
      <c r="A188" s="90">
        <v>183</v>
      </c>
      <c r="B188" s="146" t="s">
        <v>711</v>
      </c>
      <c r="C188" s="50" t="s">
        <v>45</v>
      </c>
      <c r="D188" s="50" t="s">
        <v>36</v>
      </c>
      <c r="E188" s="50" t="s">
        <v>314</v>
      </c>
      <c r="F188" s="19" t="s">
        <v>26</v>
      </c>
      <c r="G188" s="192" t="s">
        <v>544</v>
      </c>
      <c r="H188" s="177" t="s">
        <v>652</v>
      </c>
      <c r="J188" s="176" t="b">
        <f>EXACT(G188,'Vh5205_C-85'!G188)</f>
        <v>1</v>
      </c>
    </row>
    <row r="189" spans="1:10" s="7" customFormat="1" x14ac:dyDescent="0.35">
      <c r="A189" s="90">
        <v>184</v>
      </c>
      <c r="B189" s="10" t="s">
        <v>711</v>
      </c>
      <c r="C189" s="156" t="s">
        <v>47</v>
      </c>
      <c r="D189" s="160" t="s">
        <v>597</v>
      </c>
      <c r="E189" s="50" t="s">
        <v>2</v>
      </c>
      <c r="F189" s="19" t="s">
        <v>79</v>
      </c>
      <c r="G189" s="161"/>
      <c r="H189" s="177"/>
      <c r="J189" s="1" t="b">
        <f>EXACT(G189,'Vh5205_C-85'!G189)</f>
        <v>1</v>
      </c>
    </row>
    <row r="190" spans="1:10" s="7" customFormat="1" ht="17.5" x14ac:dyDescent="0.35">
      <c r="A190" s="90">
        <v>185</v>
      </c>
      <c r="B190" s="10" t="s">
        <v>711</v>
      </c>
      <c r="C190" s="156" t="s">
        <v>175</v>
      </c>
      <c r="D190" s="160" t="s">
        <v>598</v>
      </c>
      <c r="E190" s="50" t="s">
        <v>2</v>
      </c>
      <c r="F190" s="19" t="s">
        <v>79</v>
      </c>
      <c r="G190" s="161"/>
      <c r="H190" s="177"/>
      <c r="J190" s="1" t="b">
        <f>EXACT(G190,'Vh5205_C-85'!G190)</f>
        <v>1</v>
      </c>
    </row>
    <row r="191" spans="1:10" s="7" customFormat="1" x14ac:dyDescent="0.35">
      <c r="A191" s="90">
        <v>186</v>
      </c>
      <c r="B191" s="146" t="s">
        <v>711</v>
      </c>
      <c r="C191" s="50" t="s">
        <v>12</v>
      </c>
      <c r="D191" s="50"/>
      <c r="E191" s="50" t="s">
        <v>5</v>
      </c>
      <c r="F191" s="19" t="s">
        <v>26</v>
      </c>
      <c r="G191" s="161">
        <v>1.74</v>
      </c>
      <c r="H191" s="177"/>
      <c r="J191" s="1" t="b">
        <f>EXACT(G191,'Vh5205_C-85'!G191)</f>
        <v>0</v>
      </c>
    </row>
    <row r="192" spans="1:10" s="7" customFormat="1" x14ac:dyDescent="0.35">
      <c r="A192" s="90">
        <v>187</v>
      </c>
      <c r="B192" s="146" t="s">
        <v>711</v>
      </c>
      <c r="C192" s="50" t="s">
        <v>53</v>
      </c>
      <c r="D192" s="50"/>
      <c r="E192" s="50" t="s">
        <v>5</v>
      </c>
      <c r="F192" s="19" t="s">
        <v>26</v>
      </c>
      <c r="G192" s="161">
        <v>1.82</v>
      </c>
      <c r="H192" s="177"/>
      <c r="J192" s="1" t="b">
        <f>EXACT(G192,'Vh5205_C-85'!G192)</f>
        <v>0</v>
      </c>
    </row>
    <row r="193" spans="1:10" s="7" customFormat="1" x14ac:dyDescent="0.35">
      <c r="A193" s="90">
        <v>188</v>
      </c>
      <c r="B193" s="146" t="s">
        <v>711</v>
      </c>
      <c r="C193" s="50" t="s">
        <v>8</v>
      </c>
      <c r="D193" s="50" t="s">
        <v>36</v>
      </c>
      <c r="E193" s="50" t="s">
        <v>5</v>
      </c>
      <c r="F193" s="22" t="s">
        <v>26</v>
      </c>
      <c r="G193" s="213">
        <v>1011</v>
      </c>
      <c r="H193" s="180"/>
      <c r="J193" s="1" t="b">
        <f>EXACT(G193,'Vh5205_C-85'!G193)</f>
        <v>0</v>
      </c>
    </row>
    <row r="194" spans="1:10" s="7" customFormat="1" ht="17.5" x14ac:dyDescent="0.35">
      <c r="A194" s="90">
        <v>189</v>
      </c>
      <c r="B194" s="100" t="s">
        <v>712</v>
      </c>
      <c r="C194" s="100" t="s">
        <v>118</v>
      </c>
      <c r="D194" s="100" t="s">
        <v>599</v>
      </c>
      <c r="E194" s="100" t="s">
        <v>5</v>
      </c>
      <c r="F194" s="19" t="s">
        <v>26</v>
      </c>
      <c r="G194" s="214" t="s">
        <v>524</v>
      </c>
      <c r="H194" s="177"/>
      <c r="J194" s="1" t="b">
        <f>EXACT(G194,'Vh5205_C-85'!G194)</f>
        <v>1</v>
      </c>
    </row>
    <row r="195" spans="1:10" s="7" customFormat="1" x14ac:dyDescent="0.35">
      <c r="A195" s="90">
        <v>190</v>
      </c>
      <c r="B195" s="10" t="s">
        <v>712</v>
      </c>
      <c r="C195" s="156" t="s">
        <v>176</v>
      </c>
      <c r="D195" s="50"/>
      <c r="E195" s="50"/>
      <c r="F195" s="19" t="s">
        <v>26</v>
      </c>
      <c r="G195" s="161" t="s">
        <v>524</v>
      </c>
      <c r="H195" s="177"/>
      <c r="J195" s="1" t="b">
        <f>EXACT(G195,'Vh5205_C-85'!G195)</f>
        <v>1</v>
      </c>
    </row>
    <row r="196" spans="1:10" s="7" customFormat="1" x14ac:dyDescent="0.35">
      <c r="A196" s="90">
        <v>191</v>
      </c>
      <c r="B196" s="13" t="s">
        <v>712</v>
      </c>
      <c r="C196" s="13" t="s">
        <v>38</v>
      </c>
      <c r="D196" s="87" t="s">
        <v>49</v>
      </c>
      <c r="E196" s="87" t="s">
        <v>2</v>
      </c>
      <c r="F196" s="22" t="s">
        <v>79</v>
      </c>
      <c r="G196" s="215" t="s">
        <v>524</v>
      </c>
      <c r="H196" s="180"/>
      <c r="J196" s="1" t="b">
        <f>EXACT(G196,'Vh5205_C-85'!G196)</f>
        <v>1</v>
      </c>
    </row>
    <row r="197" spans="1:10" s="7" customFormat="1" ht="17.5" x14ac:dyDescent="0.35">
      <c r="A197" s="90">
        <v>192</v>
      </c>
      <c r="B197" s="10" t="s">
        <v>711</v>
      </c>
      <c r="C197" s="156" t="s">
        <v>22</v>
      </c>
      <c r="D197" s="156" t="s">
        <v>46</v>
      </c>
      <c r="E197" s="156" t="s">
        <v>3</v>
      </c>
      <c r="F197" s="19" t="s">
        <v>26</v>
      </c>
      <c r="G197" s="192" t="s">
        <v>545</v>
      </c>
      <c r="H197" s="177" t="s">
        <v>652</v>
      </c>
      <c r="J197" s="176" t="b">
        <f>EXACT(G197,'Vh5205_C-85'!G197)</f>
        <v>1</v>
      </c>
    </row>
    <row r="198" spans="1:10" s="7" customFormat="1" x14ac:dyDescent="0.35">
      <c r="A198" s="90">
        <v>193</v>
      </c>
      <c r="B198" s="10" t="s">
        <v>711</v>
      </c>
      <c r="C198" s="156" t="s">
        <v>193</v>
      </c>
      <c r="D198" s="149"/>
      <c r="E198" s="156" t="s">
        <v>0</v>
      </c>
      <c r="F198" s="19" t="s">
        <v>26</v>
      </c>
      <c r="G198" s="192" t="s">
        <v>659</v>
      </c>
      <c r="H198" s="177" t="s">
        <v>652</v>
      </c>
      <c r="J198" s="176" t="b">
        <f>EXACT(G198,'Vh5205_C-85'!G198)</f>
        <v>1</v>
      </c>
    </row>
    <row r="199" spans="1:10" s="7" customFormat="1" x14ac:dyDescent="0.35">
      <c r="A199" s="90">
        <v>194</v>
      </c>
      <c r="B199" s="146" t="s">
        <v>711</v>
      </c>
      <c r="C199" s="50" t="s">
        <v>13</v>
      </c>
      <c r="D199" s="50"/>
      <c r="E199" s="50" t="s">
        <v>6</v>
      </c>
      <c r="F199" s="19" t="s">
        <v>79</v>
      </c>
      <c r="G199" s="161"/>
      <c r="H199" s="177"/>
      <c r="J199" s="1" t="b">
        <f>EXACT(G199,'Vh5205_C-85'!G199)</f>
        <v>1</v>
      </c>
    </row>
    <row r="200" spans="1:10" s="7" customFormat="1" x14ac:dyDescent="0.35">
      <c r="A200" s="90">
        <v>195</v>
      </c>
      <c r="B200" s="146" t="s">
        <v>711</v>
      </c>
      <c r="C200" s="50" t="s">
        <v>14</v>
      </c>
      <c r="D200" s="50"/>
      <c r="E200" s="50" t="s">
        <v>6</v>
      </c>
      <c r="F200" s="19" t="s">
        <v>79</v>
      </c>
      <c r="G200" s="161"/>
      <c r="H200" s="177"/>
      <c r="J200" s="1" t="b">
        <f>EXACT(G200,'Vh5205_C-85'!G200)</f>
        <v>1</v>
      </c>
    </row>
    <row r="201" spans="1:10" s="7" customFormat="1" x14ac:dyDescent="0.35">
      <c r="A201" s="90">
        <v>196</v>
      </c>
      <c r="B201" s="146" t="s">
        <v>711</v>
      </c>
      <c r="C201" s="50" t="s">
        <v>19</v>
      </c>
      <c r="D201" s="50"/>
      <c r="E201" s="50" t="s">
        <v>113</v>
      </c>
      <c r="F201" s="19" t="s">
        <v>79</v>
      </c>
      <c r="G201" s="161"/>
      <c r="H201" s="177"/>
      <c r="J201" s="1" t="b">
        <f>EXACT(G201,'Vh5205_C-85'!G201)</f>
        <v>1</v>
      </c>
    </row>
    <row r="202" spans="1:10" s="7" customFormat="1" x14ac:dyDescent="0.35">
      <c r="A202" s="90">
        <v>197</v>
      </c>
      <c r="B202" s="146" t="s">
        <v>711</v>
      </c>
      <c r="C202" s="50" t="s">
        <v>20</v>
      </c>
      <c r="D202" s="50"/>
      <c r="E202" s="50" t="s">
        <v>113</v>
      </c>
      <c r="F202" s="19" t="s">
        <v>79</v>
      </c>
      <c r="G202" s="161"/>
      <c r="H202" s="177"/>
      <c r="J202" s="1" t="b">
        <f>EXACT(G202,'Vh5205_C-85'!G202)</f>
        <v>1</v>
      </c>
    </row>
    <row r="203" spans="1:10" s="7" customFormat="1" x14ac:dyDescent="0.35">
      <c r="A203" s="90">
        <v>198</v>
      </c>
      <c r="B203" s="13" t="s">
        <v>711</v>
      </c>
      <c r="C203" s="13" t="s">
        <v>317</v>
      </c>
      <c r="D203" s="156" t="s">
        <v>35</v>
      </c>
      <c r="E203" s="156" t="s">
        <v>1</v>
      </c>
      <c r="F203" s="22" t="s">
        <v>26</v>
      </c>
      <c r="G203" s="194" t="s">
        <v>626</v>
      </c>
      <c r="H203" s="180" t="s">
        <v>652</v>
      </c>
      <c r="J203" s="176" t="b">
        <f>EXACT(G203,'Vh5205_C-85'!G203)</f>
        <v>1</v>
      </c>
    </row>
    <row r="204" spans="1:10" s="7" customFormat="1" ht="17.5" x14ac:dyDescent="0.35">
      <c r="A204" s="90">
        <v>199</v>
      </c>
      <c r="B204" s="10" t="s">
        <v>713</v>
      </c>
      <c r="C204" s="156" t="s">
        <v>180</v>
      </c>
      <c r="D204" s="102" t="s">
        <v>181</v>
      </c>
      <c r="E204" s="100" t="s">
        <v>1</v>
      </c>
      <c r="F204" s="23" t="s">
        <v>26</v>
      </c>
      <c r="G204" s="161">
        <v>0.81</v>
      </c>
      <c r="H204" s="177"/>
      <c r="J204" s="1" t="b">
        <f>EXACT(G204,'Vh5205_C-85'!G204)</f>
        <v>0</v>
      </c>
    </row>
    <row r="205" spans="1:10" s="7" customFormat="1" x14ac:dyDescent="0.35">
      <c r="A205" s="90">
        <v>200</v>
      </c>
      <c r="B205" s="146" t="s">
        <v>713</v>
      </c>
      <c r="C205" s="50" t="s">
        <v>37</v>
      </c>
      <c r="D205" s="50" t="s">
        <v>50</v>
      </c>
      <c r="E205" s="50" t="s">
        <v>1</v>
      </c>
      <c r="F205" s="23" t="s">
        <v>26</v>
      </c>
      <c r="G205" s="216" t="s">
        <v>524</v>
      </c>
      <c r="H205" s="177"/>
      <c r="J205" s="1" t="b">
        <f>EXACT(G205,'Vh5205_C-85'!G205)</f>
        <v>1</v>
      </c>
    </row>
    <row r="206" spans="1:10" s="7" customFormat="1" ht="17.5" x14ac:dyDescent="0.35">
      <c r="A206" s="90">
        <v>201</v>
      </c>
      <c r="B206" s="87" t="s">
        <v>713</v>
      </c>
      <c r="C206" s="87" t="s">
        <v>610</v>
      </c>
      <c r="D206" s="13" t="s">
        <v>182</v>
      </c>
      <c r="E206" s="103" t="s">
        <v>1</v>
      </c>
      <c r="F206" s="24" t="s">
        <v>26</v>
      </c>
      <c r="G206" s="217" t="s">
        <v>524</v>
      </c>
      <c r="H206" s="180"/>
      <c r="J206" s="1" t="b">
        <f>EXACT(G206,'Vh5205_C-85'!G206)</f>
        <v>1</v>
      </c>
    </row>
    <row r="207" spans="1:10" s="7" customFormat="1" x14ac:dyDescent="0.35">
      <c r="A207" s="90">
        <v>202</v>
      </c>
      <c r="B207" s="5" t="s">
        <v>714</v>
      </c>
      <c r="C207" s="149" t="s">
        <v>392</v>
      </c>
      <c r="D207" s="50"/>
      <c r="E207" s="50"/>
      <c r="F207" s="23" t="s">
        <v>26</v>
      </c>
      <c r="G207" s="161" t="s">
        <v>524</v>
      </c>
      <c r="H207" s="177" t="s">
        <v>652</v>
      </c>
      <c r="J207" s="176" t="b">
        <f>EXACT(G207,'Vh5205_C-85'!G207)</f>
        <v>1</v>
      </c>
    </row>
    <row r="208" spans="1:10" s="7" customFormat="1" x14ac:dyDescent="0.35">
      <c r="A208" s="90">
        <v>203</v>
      </c>
      <c r="B208" s="146" t="s">
        <v>714</v>
      </c>
      <c r="C208" s="50" t="s">
        <v>25</v>
      </c>
      <c r="D208" s="50" t="s">
        <v>601</v>
      </c>
      <c r="E208" s="50" t="s">
        <v>1</v>
      </c>
      <c r="F208" s="19" t="s">
        <v>26</v>
      </c>
      <c r="G208" s="218">
        <v>0.94399999999999995</v>
      </c>
      <c r="H208" s="177"/>
      <c r="J208" s="1" t="b">
        <f>EXACT(G208,'Vh5205_C-85'!G208)</f>
        <v>0</v>
      </c>
    </row>
    <row r="209" spans="1:10" s="7" customFormat="1" x14ac:dyDescent="0.35">
      <c r="A209" s="90">
        <v>204</v>
      </c>
      <c r="B209" s="146" t="s">
        <v>714</v>
      </c>
      <c r="C209" s="50" t="s">
        <v>33</v>
      </c>
      <c r="D209" s="50" t="s">
        <v>602</v>
      </c>
      <c r="E209" s="50" t="s">
        <v>1</v>
      </c>
      <c r="F209" s="19" t="s">
        <v>26</v>
      </c>
      <c r="G209" s="219">
        <v>0.156</v>
      </c>
      <c r="H209" s="177"/>
      <c r="J209" s="1" t="b">
        <f>EXACT(G209,'Vh5205_C-85'!G209)</f>
        <v>0</v>
      </c>
    </row>
    <row r="210" spans="1:10" s="7" customFormat="1" ht="17.5" x14ac:dyDescent="0.35">
      <c r="A210" s="90">
        <v>205</v>
      </c>
      <c r="B210" s="146" t="s">
        <v>714</v>
      </c>
      <c r="C210" s="50" t="s">
        <v>27</v>
      </c>
      <c r="D210" s="50" t="s">
        <v>603</v>
      </c>
      <c r="E210" s="50" t="s">
        <v>1</v>
      </c>
      <c r="F210" s="19" t="s">
        <v>26</v>
      </c>
      <c r="G210" s="219">
        <v>0.156</v>
      </c>
      <c r="H210" s="177"/>
      <c r="J210" s="1" t="b">
        <f>EXACT(G210,'Vh5205_C-85'!G210)</f>
        <v>0</v>
      </c>
    </row>
    <row r="211" spans="1:10" s="7" customFormat="1" x14ac:dyDescent="0.35">
      <c r="A211" s="90">
        <v>206</v>
      </c>
      <c r="B211" s="146" t="s">
        <v>714</v>
      </c>
      <c r="C211" s="50" t="s">
        <v>34</v>
      </c>
      <c r="D211" s="50" t="s">
        <v>604</v>
      </c>
      <c r="E211" s="50" t="s">
        <v>1</v>
      </c>
      <c r="F211" s="19" t="s">
        <v>26</v>
      </c>
      <c r="G211" s="216">
        <v>0</v>
      </c>
      <c r="H211" s="177"/>
      <c r="J211" s="1" t="b">
        <f>EXACT(G211,'Vh5205_C-85'!G211)</f>
        <v>1</v>
      </c>
    </row>
    <row r="212" spans="1:10" s="7" customFormat="1" x14ac:dyDescent="0.35">
      <c r="A212" s="90">
        <v>207</v>
      </c>
      <c r="B212" s="146" t="s">
        <v>714</v>
      </c>
      <c r="C212" s="50" t="s">
        <v>24</v>
      </c>
      <c r="D212" s="50" t="s">
        <v>605</v>
      </c>
      <c r="E212" s="50" t="s">
        <v>1</v>
      </c>
      <c r="F212" s="19" t="s">
        <v>26</v>
      </c>
      <c r="G212" s="219">
        <v>0.78800000000000003</v>
      </c>
      <c r="H212" s="177"/>
      <c r="J212" s="1" t="b">
        <f>EXACT(G212,'Vh5205_C-85'!G212)</f>
        <v>0</v>
      </c>
    </row>
    <row r="213" spans="1:10" s="7" customFormat="1" ht="17.5" x14ac:dyDescent="0.35">
      <c r="A213" s="123">
        <v>208</v>
      </c>
      <c r="B213" s="87" t="s">
        <v>714</v>
      </c>
      <c r="C213" s="87" t="s">
        <v>23</v>
      </c>
      <c r="D213" s="87" t="s">
        <v>606</v>
      </c>
      <c r="E213" s="87" t="s">
        <v>1</v>
      </c>
      <c r="F213" s="22" t="s">
        <v>26</v>
      </c>
      <c r="G213" s="220">
        <v>0.78800000000000003</v>
      </c>
      <c r="H213" s="180"/>
      <c r="J213" s="1" t="b">
        <f>EXACT(G213,'Vh5205_C-85'!G213)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1073" priority="432" operator="equal">
      <formula>"Mandatory"</formula>
    </cfRule>
  </conditionalFormatting>
  <conditionalFormatting sqref="F4:F213">
    <cfRule type="cellIs" dxfId="1072" priority="430" operator="equal">
      <formula>"Recommended"</formula>
    </cfRule>
    <cfRule type="cellIs" dxfId="1071" priority="431" operator="equal">
      <formula>"Optional"</formula>
    </cfRule>
  </conditionalFormatting>
  <conditionalFormatting sqref="F4:F213">
    <cfRule type="cellIs" dxfId="1070" priority="429" operator="equal">
      <formula>"Undecided"</formula>
    </cfRule>
  </conditionalFormatting>
  <conditionalFormatting sqref="G227:G232">
    <cfRule type="cellIs" dxfId="1069" priority="263" operator="notEqual">
      <formula>0</formula>
    </cfRule>
  </conditionalFormatting>
  <conditionalFormatting sqref="J4:J213">
    <cfRule type="cellIs" dxfId="1068" priority="93" operator="equal">
      <formula>FALSE</formula>
    </cfRule>
    <cfRule type="cellIs" dxfId="1067" priority="94" operator="equal">
      <formula>"""FALSE"""</formula>
    </cfRule>
    <cfRule type="cellIs" dxfId="1066" priority="95" operator="equal">
      <formula>"""FALSE"""</formula>
    </cfRule>
  </conditionalFormatting>
  <conditionalFormatting sqref="H124:H130">
    <cfRule type="cellIs" dxfId="1065" priority="89" operator="equal">
      <formula>"Mandatory"</formula>
    </cfRule>
  </conditionalFormatting>
  <conditionalFormatting sqref="H124:H130">
    <cfRule type="cellIs" dxfId="1064" priority="87" operator="equal">
      <formula>"Recommended"</formula>
    </cfRule>
    <cfRule type="cellIs" dxfId="1063" priority="88" operator="equal">
      <formula>"Optional"</formula>
    </cfRule>
  </conditionalFormatting>
  <conditionalFormatting sqref="H124:H130">
    <cfRule type="cellIs" dxfId="1062" priority="86" operator="equal">
      <formula>"Undecided"</formula>
    </cfRule>
  </conditionalFormatting>
  <conditionalFormatting sqref="G15 G177 G180 G184:G185 G188 G197:G198 G20 G44 G34:G38 G51:G53 G68 G57:G60 G83:G85 G141 G203 G212:G213 G40">
    <cfRule type="cellIs" dxfId="1061" priority="85" operator="equal">
      <formula>"Mandatory"</formula>
    </cfRule>
  </conditionalFormatting>
  <conditionalFormatting sqref="G15 G177 G180 G184:G185 G188 G197:G198 G20 G44 G34:G38 G51:G53 G68 G57:G60 G83:G85 G141 G203 G212:G213 G40">
    <cfRule type="cellIs" dxfId="1060" priority="83" operator="equal">
      <formula>"Not Mandatory"</formula>
    </cfRule>
    <cfRule type="cellIs" dxfId="1059" priority="84" operator="equal">
      <formula>"Recommended"</formula>
    </cfRule>
  </conditionalFormatting>
  <conditionalFormatting sqref="G44 G37:G38 G52:G53 G57:G60 G85 G40">
    <cfRule type="cellIs" dxfId="1058" priority="81" operator="equal">
      <formula>"Not Mandatory"</formula>
    </cfRule>
    <cfRule type="cellIs" dxfId="1057" priority="82" operator="equal">
      <formula>"Recommended"</formula>
    </cfRule>
  </conditionalFormatting>
  <conditionalFormatting sqref="G44 G37:G38 G52:G53 G57:G60 G85 G40">
    <cfRule type="cellIs" dxfId="1056" priority="79" operator="equal">
      <formula>"Not Mandatory"</formula>
    </cfRule>
    <cfRule type="cellIs" dxfId="1055" priority="80" operator="equal">
      <formula>"Recommended"</formula>
    </cfRule>
  </conditionalFormatting>
  <conditionalFormatting sqref="G48:G49">
    <cfRule type="cellIs" dxfId="1054" priority="78" operator="equal">
      <formula>"Mandatory"</formula>
    </cfRule>
  </conditionalFormatting>
  <conditionalFormatting sqref="G48:G49">
    <cfRule type="cellIs" dxfId="1053" priority="76" operator="equal">
      <formula>"Not Mandatory"</formula>
    </cfRule>
    <cfRule type="cellIs" dxfId="1052" priority="77" operator="equal">
      <formula>"Recommended"</formula>
    </cfRule>
  </conditionalFormatting>
  <conditionalFormatting sqref="G48:G49">
    <cfRule type="cellIs" dxfId="1051" priority="74" operator="equal">
      <formula>"Not Mandatory"</formula>
    </cfRule>
    <cfRule type="cellIs" dxfId="1050" priority="75" operator="equal">
      <formula>"Recommended"</formula>
    </cfRule>
  </conditionalFormatting>
  <conditionalFormatting sqref="G48:G49">
    <cfRule type="cellIs" dxfId="1049" priority="72" operator="equal">
      <formula>"Not Mandatory"</formula>
    </cfRule>
    <cfRule type="cellIs" dxfId="1048" priority="73" operator="equal">
      <formula>"Recommended"</formula>
    </cfRule>
  </conditionalFormatting>
  <conditionalFormatting sqref="G69">
    <cfRule type="cellIs" dxfId="1047" priority="71" operator="equal">
      <formula>"Mandatory"</formula>
    </cfRule>
  </conditionalFormatting>
  <conditionalFormatting sqref="G69">
    <cfRule type="cellIs" dxfId="1046" priority="69" operator="equal">
      <formula>"Not Mandatory"</formula>
    </cfRule>
    <cfRule type="cellIs" dxfId="1045" priority="70" operator="equal">
      <formula>"Recommended"</formula>
    </cfRule>
  </conditionalFormatting>
  <conditionalFormatting sqref="G86">
    <cfRule type="cellIs" dxfId="1044" priority="68" operator="equal">
      <formula>"Mandatory"</formula>
    </cfRule>
  </conditionalFormatting>
  <conditionalFormatting sqref="G86">
    <cfRule type="cellIs" dxfId="1043" priority="66" operator="equal">
      <formula>"Not Mandatory"</formula>
    </cfRule>
    <cfRule type="cellIs" dxfId="1042" priority="67" operator="equal">
      <formula>"Recommended"</formula>
    </cfRule>
  </conditionalFormatting>
  <conditionalFormatting sqref="G86">
    <cfRule type="cellIs" dxfId="1041" priority="64" operator="equal">
      <formula>"Not Mandatory"</formula>
    </cfRule>
    <cfRule type="cellIs" dxfId="1040" priority="65" operator="equal">
      <formula>"Recommended"</formula>
    </cfRule>
  </conditionalFormatting>
  <conditionalFormatting sqref="G86">
    <cfRule type="cellIs" dxfId="1039" priority="62" operator="equal">
      <formula>"Not Mandatory"</formula>
    </cfRule>
    <cfRule type="cellIs" dxfId="1038" priority="63" operator="equal">
      <formula>"Recommended"</formula>
    </cfRule>
  </conditionalFormatting>
  <conditionalFormatting sqref="G9:G13">
    <cfRule type="cellIs" dxfId="1037" priority="61" operator="equal">
      <formula>"Mandatory"</formula>
    </cfRule>
  </conditionalFormatting>
  <conditionalFormatting sqref="G9:G13">
    <cfRule type="cellIs" dxfId="1036" priority="59" operator="equal">
      <formula>"Not Mandatory"</formula>
    </cfRule>
    <cfRule type="cellIs" dxfId="1035" priority="60" operator="equal">
      <formula>"Recommended"</formula>
    </cfRule>
  </conditionalFormatting>
  <conditionalFormatting sqref="G31:G33">
    <cfRule type="cellIs" dxfId="1034" priority="58" operator="equal">
      <formula>"Mandatory"</formula>
    </cfRule>
  </conditionalFormatting>
  <conditionalFormatting sqref="G31:G33">
    <cfRule type="cellIs" dxfId="1033" priority="56" operator="equal">
      <formula>"Not Mandatory"</formula>
    </cfRule>
    <cfRule type="cellIs" dxfId="1032" priority="57" operator="equal">
      <formula>"Recommended"</formula>
    </cfRule>
  </conditionalFormatting>
  <conditionalFormatting sqref="G31:G33">
    <cfRule type="cellIs" dxfId="1031" priority="54" operator="equal">
      <formula>"Not Mandatory"</formula>
    </cfRule>
    <cfRule type="cellIs" dxfId="1030" priority="55" operator="equal">
      <formula>"Recommended"</formula>
    </cfRule>
  </conditionalFormatting>
  <conditionalFormatting sqref="G31:G33">
    <cfRule type="cellIs" dxfId="1029" priority="52" operator="equal">
      <formula>"Not Mandatory"</formula>
    </cfRule>
    <cfRule type="cellIs" dxfId="1028" priority="53" operator="equal">
      <formula>"Recommended"</formula>
    </cfRule>
  </conditionalFormatting>
  <conditionalFormatting sqref="G41">
    <cfRule type="cellIs" dxfId="1027" priority="51" operator="equal">
      <formula>"Mandatory"</formula>
    </cfRule>
  </conditionalFormatting>
  <conditionalFormatting sqref="G41">
    <cfRule type="cellIs" dxfId="1026" priority="49" operator="equal">
      <formula>"Not Mandatory"</formula>
    </cfRule>
    <cfRule type="cellIs" dxfId="1025" priority="50" operator="equal">
      <formula>"Recommended"</formula>
    </cfRule>
  </conditionalFormatting>
  <conditionalFormatting sqref="G41">
    <cfRule type="cellIs" dxfId="1024" priority="47" operator="equal">
      <formula>"Not Mandatory"</formula>
    </cfRule>
    <cfRule type="cellIs" dxfId="1023" priority="48" operator="equal">
      <formula>"Recommended"</formula>
    </cfRule>
  </conditionalFormatting>
  <conditionalFormatting sqref="G41">
    <cfRule type="cellIs" dxfId="1022" priority="45" operator="equal">
      <formula>"Not Mandatory"</formula>
    </cfRule>
    <cfRule type="cellIs" dxfId="1021" priority="46" operator="equal">
      <formula>"Recommended"</formula>
    </cfRule>
  </conditionalFormatting>
  <conditionalFormatting sqref="G90">
    <cfRule type="cellIs" dxfId="1020" priority="44" operator="equal">
      <formula>"Mandatory"</formula>
    </cfRule>
  </conditionalFormatting>
  <conditionalFormatting sqref="G90">
    <cfRule type="cellIs" dxfId="1019" priority="42" operator="equal">
      <formula>"Not Mandatory"</formula>
    </cfRule>
    <cfRule type="cellIs" dxfId="1018" priority="43" operator="equal">
      <formula>"Recommended"</formula>
    </cfRule>
  </conditionalFormatting>
  <conditionalFormatting sqref="G122">
    <cfRule type="cellIs" dxfId="1017" priority="41" operator="equal">
      <formula>"Mandatory"</formula>
    </cfRule>
  </conditionalFormatting>
  <conditionalFormatting sqref="G122">
    <cfRule type="cellIs" dxfId="1016" priority="39" operator="equal">
      <formula>"Not Mandatory"</formula>
    </cfRule>
    <cfRule type="cellIs" dxfId="1015" priority="40" operator="equal">
      <formula>"Recommended"</formula>
    </cfRule>
  </conditionalFormatting>
  <conditionalFormatting sqref="G119">
    <cfRule type="cellIs" dxfId="1014" priority="38" operator="equal">
      <formula>"Mandatory"</formula>
    </cfRule>
  </conditionalFormatting>
  <conditionalFormatting sqref="G119">
    <cfRule type="cellIs" dxfId="1013" priority="36" operator="equal">
      <formula>"Not Mandatory"</formula>
    </cfRule>
    <cfRule type="cellIs" dxfId="1012" priority="37" operator="equal">
      <formula>"Recommended"</formula>
    </cfRule>
  </conditionalFormatting>
  <conditionalFormatting sqref="G109">
    <cfRule type="cellIs" dxfId="1011" priority="35" operator="equal">
      <formula>"Mandatory"</formula>
    </cfRule>
  </conditionalFormatting>
  <conditionalFormatting sqref="G109">
    <cfRule type="cellIs" dxfId="1010" priority="33" operator="equal">
      <formula>"Not Mandatory"</formula>
    </cfRule>
    <cfRule type="cellIs" dxfId="1009" priority="34" operator="equal">
      <formula>"Recommended"</formula>
    </cfRule>
  </conditionalFormatting>
  <conditionalFormatting sqref="G130">
    <cfRule type="cellIs" dxfId="1008" priority="32" operator="equal">
      <formula>"Mandatory"</formula>
    </cfRule>
  </conditionalFormatting>
  <conditionalFormatting sqref="G130">
    <cfRule type="cellIs" dxfId="1007" priority="30" operator="equal">
      <formula>"Not Mandatory"</formula>
    </cfRule>
    <cfRule type="cellIs" dxfId="1006" priority="31" operator="equal">
      <formula>"Recommended"</formula>
    </cfRule>
  </conditionalFormatting>
  <conditionalFormatting sqref="G125">
    <cfRule type="cellIs" dxfId="1005" priority="29" operator="equal">
      <formula>"Mandatory"</formula>
    </cfRule>
  </conditionalFormatting>
  <conditionalFormatting sqref="G125">
    <cfRule type="cellIs" dxfId="1004" priority="27" operator="equal">
      <formula>"Not Mandatory"</formula>
    </cfRule>
    <cfRule type="cellIs" dxfId="1003" priority="28" operator="equal">
      <formula>"Recommended"</formula>
    </cfRule>
  </conditionalFormatting>
  <conditionalFormatting sqref="G127:G129">
    <cfRule type="cellIs" dxfId="1002" priority="26" operator="equal">
      <formula>"Mandatory"</formula>
    </cfRule>
  </conditionalFormatting>
  <conditionalFormatting sqref="G127:G129">
    <cfRule type="cellIs" dxfId="1001" priority="24" operator="equal">
      <formula>"Not Mandatory"</formula>
    </cfRule>
    <cfRule type="cellIs" dxfId="1000" priority="25" operator="equal">
      <formula>"Recommended"</formula>
    </cfRule>
  </conditionalFormatting>
  <conditionalFormatting sqref="G135:G136">
    <cfRule type="cellIs" dxfId="999" priority="23" operator="equal">
      <formula>"Mandatory"</formula>
    </cfRule>
  </conditionalFormatting>
  <conditionalFormatting sqref="G135:G136">
    <cfRule type="cellIs" dxfId="998" priority="21" operator="equal">
      <formula>"Not Mandatory"</formula>
    </cfRule>
    <cfRule type="cellIs" dxfId="997" priority="22" operator="equal">
      <formula>"Recommended"</formula>
    </cfRule>
  </conditionalFormatting>
  <conditionalFormatting sqref="G154">
    <cfRule type="cellIs" dxfId="996" priority="20" operator="equal">
      <formula>"Mandatory"</formula>
    </cfRule>
  </conditionalFormatting>
  <conditionalFormatting sqref="G154">
    <cfRule type="cellIs" dxfId="995" priority="18" operator="equal">
      <formula>"Not Mandatory"</formula>
    </cfRule>
    <cfRule type="cellIs" dxfId="994" priority="19" operator="equal">
      <formula>"Recommended"</formula>
    </cfRule>
  </conditionalFormatting>
  <conditionalFormatting sqref="G162">
    <cfRule type="cellIs" dxfId="993" priority="17" operator="equal">
      <formula>"Mandatory"</formula>
    </cfRule>
  </conditionalFormatting>
  <conditionalFormatting sqref="G162">
    <cfRule type="cellIs" dxfId="992" priority="15" operator="equal">
      <formula>"Not Mandatory"</formula>
    </cfRule>
    <cfRule type="cellIs" dxfId="991" priority="16" operator="equal">
      <formula>"Recommended"</formula>
    </cfRule>
  </conditionalFormatting>
  <conditionalFormatting sqref="G66">
    <cfRule type="cellIs" dxfId="990" priority="14" operator="equal">
      <formula>"Mandatory"</formula>
    </cfRule>
  </conditionalFormatting>
  <conditionalFormatting sqref="G66">
    <cfRule type="cellIs" dxfId="989" priority="12" operator="equal">
      <formula>"Not Mandatory"</formula>
    </cfRule>
    <cfRule type="cellIs" dxfId="988" priority="13" operator="equal">
      <formula>"Recommended"</formula>
    </cfRule>
  </conditionalFormatting>
  <conditionalFormatting sqref="G66">
    <cfRule type="cellIs" dxfId="987" priority="10" operator="equal">
      <formula>"Not Mandatory"</formula>
    </cfRule>
    <cfRule type="cellIs" dxfId="986" priority="11" operator="equal">
      <formula>"Recommended"</formula>
    </cfRule>
  </conditionalFormatting>
  <conditionalFormatting sqref="G66">
    <cfRule type="cellIs" dxfId="985" priority="8" operator="equal">
      <formula>"Not Mandatory"</formula>
    </cfRule>
    <cfRule type="cellIs" dxfId="984" priority="9" operator="equal">
      <formula>"Recommended"</formula>
    </cfRule>
  </conditionalFormatting>
  <conditionalFormatting sqref="G39">
    <cfRule type="cellIs" dxfId="983" priority="7" operator="equal">
      <formula>"Mandatory"</formula>
    </cfRule>
  </conditionalFormatting>
  <conditionalFormatting sqref="G39">
    <cfRule type="cellIs" dxfId="982" priority="5" operator="equal">
      <formula>"Not Mandatory"</formula>
    </cfRule>
    <cfRule type="cellIs" dxfId="981" priority="6" operator="equal">
      <formula>"Recommended"</formula>
    </cfRule>
  </conditionalFormatting>
  <conditionalFormatting sqref="G39">
    <cfRule type="cellIs" dxfId="980" priority="3" operator="equal">
      <formula>"Not Mandatory"</formula>
    </cfRule>
    <cfRule type="cellIs" dxfId="979" priority="4" operator="equal">
      <formula>"Recommended"</formula>
    </cfRule>
  </conditionalFormatting>
  <conditionalFormatting sqref="G39">
    <cfRule type="cellIs" dxfId="978" priority="1" operator="equal">
      <formula>"Not Mandatory"</formula>
    </cfRule>
    <cfRule type="cellIs" dxfId="977" priority="2" operator="equal">
      <formula>"Recommended"</formula>
    </cfRule>
  </conditionalFormatting>
  <dataValidations disablePrompts="1" count="1">
    <dataValidation type="list" allowBlank="1" showInputMessage="1" showErrorMessage="1" sqref="F4:F213" xr:uid="{92851640-D1C5-44D6-9578-CF1FF5655D75}">
      <formula1>$F$1:$F$2</formula1>
    </dataValidation>
  </dataValidations>
  <pageMargins left="0.7" right="0.7" top="0.75" bottom="0.75" header="0.3" footer="0.3"/>
  <pageSetup paperSize="66" scale="3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66D7-A0BB-4015-8731-D3A770BFED93}">
  <sheetPr codeName="Sheet4">
    <pageSetUpPr fitToPage="1"/>
  </sheetPr>
  <dimension ref="A1:J232"/>
  <sheetViews>
    <sheetView zoomScale="55" zoomScaleNormal="55" zoomScaleSheetLayoutView="50" workbookViewId="0">
      <pane xSplit="1" ySplit="6" topLeftCell="B2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56" t="s">
        <v>54</v>
      </c>
      <c r="D4" s="50"/>
      <c r="E4" s="50"/>
      <c r="F4" s="18" t="s">
        <v>26</v>
      </c>
      <c r="G4" s="201">
        <v>45168.379363425927</v>
      </c>
      <c r="H4" s="162"/>
      <c r="J4" s="2" t="b">
        <f>EXACT(G4,'Vh5205_C-94'!G4)</f>
        <v>0</v>
      </c>
    </row>
    <row r="5" spans="1:10" x14ac:dyDescent="0.35">
      <c r="A5" s="90">
        <v>2</v>
      </c>
      <c r="B5" s="10" t="s">
        <v>685</v>
      </c>
      <c r="C5" s="156" t="s">
        <v>55</v>
      </c>
      <c r="D5" s="50"/>
      <c r="E5" s="50"/>
      <c r="F5" s="19" t="s">
        <v>26</v>
      </c>
      <c r="G5" s="202">
        <v>45210.462696759263</v>
      </c>
      <c r="H5" s="58"/>
      <c r="J5" s="2" t="b">
        <f>EXACT(G5,'Vh5205_C-94'!G5)</f>
        <v>0</v>
      </c>
    </row>
    <row r="6" spans="1:10" x14ac:dyDescent="0.35">
      <c r="A6" s="90">
        <v>3</v>
      </c>
      <c r="B6" s="146" t="s">
        <v>685</v>
      </c>
      <c r="C6" s="50" t="s">
        <v>41</v>
      </c>
      <c r="D6" s="50"/>
      <c r="E6" s="50"/>
      <c r="F6" s="19" t="s">
        <v>26</v>
      </c>
      <c r="G6" s="161" t="s">
        <v>511</v>
      </c>
      <c r="H6" s="58"/>
      <c r="J6" s="2" t="b">
        <f>EXACT(G6,'Vh5205_C-94'!G6)</f>
        <v>0</v>
      </c>
    </row>
    <row r="7" spans="1:10" x14ac:dyDescent="0.35">
      <c r="A7" s="90">
        <v>4</v>
      </c>
      <c r="B7" s="146" t="s">
        <v>685</v>
      </c>
      <c r="C7" s="50" t="s">
        <v>7</v>
      </c>
      <c r="D7" s="50"/>
      <c r="E7" s="50"/>
      <c r="F7" s="19" t="s">
        <v>79</v>
      </c>
      <c r="G7" s="192" t="s">
        <v>499</v>
      </c>
      <c r="H7" s="53" t="s">
        <v>652</v>
      </c>
      <c r="J7" s="176" t="b">
        <f>EXACT(G7,'Vh5205_C-94'!G7)</f>
        <v>1</v>
      </c>
    </row>
    <row r="8" spans="1:10" x14ac:dyDescent="0.35">
      <c r="A8" s="90">
        <v>5</v>
      </c>
      <c r="B8" s="87" t="s">
        <v>685</v>
      </c>
      <c r="C8" s="87" t="s">
        <v>39</v>
      </c>
      <c r="D8" s="87"/>
      <c r="E8" s="87"/>
      <c r="F8" s="22" t="s">
        <v>79</v>
      </c>
      <c r="G8" s="194" t="s">
        <v>524</v>
      </c>
      <c r="H8" s="181" t="s">
        <v>652</v>
      </c>
      <c r="J8" s="176" t="b">
        <f>EXACT(G8,'Vh5205_C-94'!G8)</f>
        <v>1</v>
      </c>
    </row>
    <row r="9" spans="1:10" x14ac:dyDescent="0.35">
      <c r="A9" s="90">
        <v>6</v>
      </c>
      <c r="B9" s="10" t="s">
        <v>686</v>
      </c>
      <c r="C9" s="156" t="s">
        <v>301</v>
      </c>
      <c r="D9" s="156"/>
      <c r="E9" s="156"/>
      <c r="F9" s="19" t="s">
        <v>26</v>
      </c>
      <c r="G9" s="192" t="s">
        <v>196</v>
      </c>
      <c r="H9" s="163" t="s">
        <v>652</v>
      </c>
      <c r="J9" s="176" t="b">
        <f>EXACT(G9,'Vh5205_C-94'!G9)</f>
        <v>1</v>
      </c>
    </row>
    <row r="10" spans="1:10" x14ac:dyDescent="0.35">
      <c r="A10" s="90">
        <v>7</v>
      </c>
      <c r="B10" s="10" t="s">
        <v>686</v>
      </c>
      <c r="C10" s="156" t="s">
        <v>302</v>
      </c>
      <c r="D10" s="157"/>
      <c r="E10" s="50"/>
      <c r="F10" s="19" t="s">
        <v>26</v>
      </c>
      <c r="G10" s="161" t="s">
        <v>523</v>
      </c>
      <c r="H10" s="140" t="s">
        <v>652</v>
      </c>
      <c r="J10" s="176" t="b">
        <f>EXACT(G10,'Vh5205_C-94'!G10)</f>
        <v>1</v>
      </c>
    </row>
    <row r="11" spans="1:10" x14ac:dyDescent="0.35">
      <c r="A11" s="90">
        <v>8</v>
      </c>
      <c r="B11" s="146" t="s">
        <v>686</v>
      </c>
      <c r="C11" s="50" t="s">
        <v>134</v>
      </c>
      <c r="D11" s="50" t="s">
        <v>15</v>
      </c>
      <c r="E11" s="146" t="s">
        <v>85</v>
      </c>
      <c r="F11" s="19" t="s">
        <v>26</v>
      </c>
      <c r="G11" s="192" t="s">
        <v>197</v>
      </c>
      <c r="H11" s="53" t="s">
        <v>652</v>
      </c>
      <c r="J11" s="176" t="b">
        <f>EXACT(G11,'Vh5205_C-94'!G11)</f>
        <v>1</v>
      </c>
    </row>
    <row r="12" spans="1:10" x14ac:dyDescent="0.35">
      <c r="A12" s="90">
        <v>9</v>
      </c>
      <c r="B12" s="10" t="s">
        <v>686</v>
      </c>
      <c r="C12" s="156" t="s">
        <v>310</v>
      </c>
      <c r="D12" s="50"/>
      <c r="E12" s="50"/>
      <c r="F12" s="19" t="s">
        <v>26</v>
      </c>
      <c r="G12" s="192" t="s">
        <v>198</v>
      </c>
      <c r="H12" s="53" t="s">
        <v>652</v>
      </c>
      <c r="J12" s="176" t="b">
        <f>EXACT(G12,'Vh5205_C-94'!G12)</f>
        <v>1</v>
      </c>
    </row>
    <row r="13" spans="1:10" x14ac:dyDescent="0.35">
      <c r="A13" s="90">
        <v>10</v>
      </c>
      <c r="B13" s="10" t="s">
        <v>686</v>
      </c>
      <c r="C13" s="156" t="s">
        <v>311</v>
      </c>
      <c r="D13" s="50"/>
      <c r="E13" s="50"/>
      <c r="F13" s="19" t="s">
        <v>26</v>
      </c>
      <c r="G13" s="192" t="s">
        <v>199</v>
      </c>
      <c r="H13" s="53" t="s">
        <v>652</v>
      </c>
      <c r="J13" s="176" t="b">
        <f>EXACT(G13,'Vh5205_C-94'!G13)</f>
        <v>1</v>
      </c>
    </row>
    <row r="14" spans="1:10" ht="17.5" x14ac:dyDescent="0.35">
      <c r="A14" s="90">
        <v>11</v>
      </c>
      <c r="B14" s="10" t="s">
        <v>686</v>
      </c>
      <c r="C14" s="156" t="s">
        <v>123</v>
      </c>
      <c r="D14" s="50" t="s">
        <v>557</v>
      </c>
      <c r="E14" s="50" t="s">
        <v>4</v>
      </c>
      <c r="F14" s="19" t="s">
        <v>26</v>
      </c>
      <c r="G14" s="161">
        <v>140</v>
      </c>
      <c r="H14" s="140"/>
      <c r="J14" s="1" t="b">
        <f>EXACT(G14,'Vh5205_C-94'!G14)</f>
        <v>1</v>
      </c>
    </row>
    <row r="15" spans="1:10" x14ac:dyDescent="0.35">
      <c r="A15" s="90">
        <v>12</v>
      </c>
      <c r="B15" s="146" t="s">
        <v>686</v>
      </c>
      <c r="C15" s="50" t="s">
        <v>116</v>
      </c>
      <c r="D15" s="50"/>
      <c r="E15" s="50"/>
      <c r="F15" s="19" t="s">
        <v>26</v>
      </c>
      <c r="G15" s="161" t="s">
        <v>684</v>
      </c>
      <c r="H15" s="53" t="s">
        <v>652</v>
      </c>
      <c r="J15" s="176" t="b">
        <f>EXACT(G15,'Vh5205_C-94'!G15)</f>
        <v>1</v>
      </c>
    </row>
    <row r="16" spans="1:10" x14ac:dyDescent="0.35">
      <c r="A16" s="90">
        <v>13</v>
      </c>
      <c r="B16" s="10" t="s">
        <v>686</v>
      </c>
      <c r="C16" s="156" t="s">
        <v>408</v>
      </c>
      <c r="D16" s="50"/>
      <c r="E16" s="50"/>
      <c r="F16" s="19" t="s">
        <v>26</v>
      </c>
      <c r="G16" s="161" t="s">
        <v>520</v>
      </c>
      <c r="H16" s="140"/>
      <c r="J16" s="1" t="b">
        <f>EXACT(G16,'Vh5205_C-94'!G16)</f>
        <v>1</v>
      </c>
    </row>
    <row r="17" spans="1:10" x14ac:dyDescent="0.35">
      <c r="A17" s="90">
        <v>14</v>
      </c>
      <c r="B17" s="10" t="s">
        <v>686</v>
      </c>
      <c r="C17" s="156" t="s">
        <v>409</v>
      </c>
      <c r="D17" s="50"/>
      <c r="E17" s="50"/>
      <c r="F17" s="19" t="s">
        <v>26</v>
      </c>
      <c r="G17" s="161" t="s">
        <v>521</v>
      </c>
      <c r="H17" s="140"/>
      <c r="J17" s="1" t="b">
        <f>EXACT(G17,'Vh5205_C-94'!G17)</f>
        <v>1</v>
      </c>
    </row>
    <row r="18" spans="1:10" s="7" customFormat="1" x14ac:dyDescent="0.35">
      <c r="A18" s="90">
        <v>15</v>
      </c>
      <c r="B18" s="146" t="s">
        <v>686</v>
      </c>
      <c r="C18" s="50" t="s">
        <v>177</v>
      </c>
      <c r="D18" s="50"/>
      <c r="E18" s="50"/>
      <c r="F18" s="19" t="s">
        <v>26</v>
      </c>
      <c r="G18" s="161" t="s">
        <v>277</v>
      </c>
      <c r="H18" s="177"/>
      <c r="J18" s="1" t="b">
        <f>EXACT(G18,'Vh5205_C-94'!G18)</f>
        <v>1</v>
      </c>
    </row>
    <row r="19" spans="1:10" x14ac:dyDescent="0.35">
      <c r="A19" s="90">
        <v>16</v>
      </c>
      <c r="B19" s="10" t="s">
        <v>686</v>
      </c>
      <c r="C19" s="156" t="s">
        <v>124</v>
      </c>
      <c r="D19" s="50"/>
      <c r="E19" s="50" t="s">
        <v>0</v>
      </c>
      <c r="F19" s="19" t="s">
        <v>79</v>
      </c>
      <c r="G19" s="203"/>
      <c r="H19" s="140"/>
      <c r="J19" s="1" t="b">
        <f>EXACT(G19,'Vh5205_C-94'!G19)</f>
        <v>1</v>
      </c>
    </row>
    <row r="20" spans="1:10" x14ac:dyDescent="0.35">
      <c r="A20" s="90">
        <v>17</v>
      </c>
      <c r="B20" s="10" t="s">
        <v>686</v>
      </c>
      <c r="C20" s="156" t="s">
        <v>188</v>
      </c>
      <c r="D20" s="50"/>
      <c r="E20" s="50" t="s">
        <v>0</v>
      </c>
      <c r="F20" s="19" t="s">
        <v>26</v>
      </c>
      <c r="G20" s="193" t="s">
        <v>618</v>
      </c>
      <c r="H20" s="140" t="s">
        <v>652</v>
      </c>
      <c r="J20" s="176" t="b">
        <f>EXACT(G20,'Vh5205_C-94'!G20)</f>
        <v>1</v>
      </c>
    </row>
    <row r="21" spans="1:10" x14ac:dyDescent="0.35">
      <c r="A21" s="90">
        <v>18</v>
      </c>
      <c r="B21" s="13" t="s">
        <v>686</v>
      </c>
      <c r="C21" s="13" t="s">
        <v>131</v>
      </c>
      <c r="D21" s="87"/>
      <c r="E21" s="87"/>
      <c r="F21" s="22" t="s">
        <v>79</v>
      </c>
      <c r="G21" s="196"/>
      <c r="H21" s="182"/>
      <c r="J21" s="1" t="b">
        <f>EXACT(G21,'Vh5205_C-94'!G21)</f>
        <v>1</v>
      </c>
    </row>
    <row r="22" spans="1:10" x14ac:dyDescent="0.35">
      <c r="A22" s="90">
        <v>19</v>
      </c>
      <c r="B22" s="146" t="s">
        <v>687</v>
      </c>
      <c r="C22" s="50" t="s">
        <v>65</v>
      </c>
      <c r="D22" s="50"/>
      <c r="E22" s="50"/>
      <c r="F22" s="19" t="s">
        <v>79</v>
      </c>
      <c r="G22" s="192" t="s">
        <v>48</v>
      </c>
      <c r="H22" s="53" t="s">
        <v>652</v>
      </c>
      <c r="J22" s="176" t="b">
        <f>EXACT(G22,'Vh5205_C-94'!G22)</f>
        <v>1</v>
      </c>
    </row>
    <row r="23" spans="1:10" x14ac:dyDescent="0.35">
      <c r="A23" s="90">
        <v>20</v>
      </c>
      <c r="B23" s="146" t="s">
        <v>687</v>
      </c>
      <c r="C23" s="50" t="s">
        <v>69</v>
      </c>
      <c r="D23" s="50"/>
      <c r="E23" s="50"/>
      <c r="F23" s="19" t="s">
        <v>79</v>
      </c>
      <c r="G23" s="161"/>
      <c r="H23" s="140"/>
      <c r="J23" s="1" t="b">
        <f>EXACT(G23,'Vh5205_C-94'!G23)</f>
        <v>1</v>
      </c>
    </row>
    <row r="24" spans="1:10" x14ac:dyDescent="0.35">
      <c r="A24" s="90">
        <v>21</v>
      </c>
      <c r="B24" s="146" t="s">
        <v>687</v>
      </c>
      <c r="C24" s="50" t="s">
        <v>70</v>
      </c>
      <c r="D24" s="50"/>
      <c r="E24" s="50"/>
      <c r="F24" s="19" t="s">
        <v>79</v>
      </c>
      <c r="G24" s="161"/>
      <c r="H24" s="140"/>
      <c r="J24" s="1" t="b">
        <f>EXACT(G24,'Vh5205_C-94'!G24)</f>
        <v>1</v>
      </c>
    </row>
    <row r="25" spans="1:10" x14ac:dyDescent="0.35">
      <c r="A25" s="90">
        <v>22</v>
      </c>
      <c r="B25" s="146" t="s">
        <v>687</v>
      </c>
      <c r="C25" s="50" t="s">
        <v>71</v>
      </c>
      <c r="D25" s="50"/>
      <c r="E25" s="50"/>
      <c r="F25" s="19" t="s">
        <v>79</v>
      </c>
      <c r="G25" s="161"/>
      <c r="H25" s="140"/>
      <c r="J25" s="1" t="b">
        <f>EXACT(G25,'Vh5205_C-94'!G25)</f>
        <v>1</v>
      </c>
    </row>
    <row r="26" spans="1:10" x14ac:dyDescent="0.35">
      <c r="A26" s="90">
        <v>23</v>
      </c>
      <c r="B26" s="146" t="s">
        <v>687</v>
      </c>
      <c r="C26" s="50" t="s">
        <v>72</v>
      </c>
      <c r="D26" s="50"/>
      <c r="E26" s="50"/>
      <c r="F26" s="19" t="s">
        <v>79</v>
      </c>
      <c r="G26" s="161"/>
      <c r="H26" s="140"/>
      <c r="J26" s="1" t="b">
        <f>EXACT(G26,'Vh5205_C-94'!G26)</f>
        <v>1</v>
      </c>
    </row>
    <row r="27" spans="1:10" x14ac:dyDescent="0.35">
      <c r="A27" s="90">
        <v>24</v>
      </c>
      <c r="B27" s="146" t="s">
        <v>687</v>
      </c>
      <c r="C27" s="50" t="s">
        <v>81</v>
      </c>
      <c r="D27" s="50"/>
      <c r="E27" s="50"/>
      <c r="F27" s="19" t="s">
        <v>79</v>
      </c>
      <c r="G27" s="161"/>
      <c r="H27" s="140"/>
      <c r="J27" s="1" t="b">
        <f>EXACT(G27,'Vh5205_C-94'!G27)</f>
        <v>1</v>
      </c>
    </row>
    <row r="28" spans="1:10" x14ac:dyDescent="0.35">
      <c r="A28" s="90">
        <v>25</v>
      </c>
      <c r="B28" s="146" t="s">
        <v>687</v>
      </c>
      <c r="C28" s="50" t="s">
        <v>82</v>
      </c>
      <c r="D28" s="50"/>
      <c r="E28" s="50"/>
      <c r="F28" s="22" t="s">
        <v>79</v>
      </c>
      <c r="G28" s="196"/>
      <c r="H28" s="182"/>
      <c r="J28" s="1" t="b">
        <f>EXACT(G28,'Vh5205_C-94'!G28)</f>
        <v>1</v>
      </c>
    </row>
    <row r="29" spans="1:10" x14ac:dyDescent="0.35">
      <c r="A29" s="90">
        <v>26</v>
      </c>
      <c r="B29" s="99" t="s">
        <v>688</v>
      </c>
      <c r="C29" s="99" t="s">
        <v>312</v>
      </c>
      <c r="D29" s="100"/>
      <c r="E29" s="100"/>
      <c r="F29" s="18" t="s">
        <v>26</v>
      </c>
      <c r="G29" s="196" t="s">
        <v>200</v>
      </c>
      <c r="H29" s="182" t="s">
        <v>652</v>
      </c>
      <c r="J29" s="176" t="b">
        <f>EXACT(G29,'Vh5205_C-94'!G29)</f>
        <v>1</v>
      </c>
    </row>
    <row r="30" spans="1:10" x14ac:dyDescent="0.35">
      <c r="A30" s="90">
        <v>27</v>
      </c>
      <c r="B30" s="102" t="s">
        <v>689</v>
      </c>
      <c r="C30" s="102" t="s">
        <v>147</v>
      </c>
      <c r="D30" s="100"/>
      <c r="E30" s="100"/>
      <c r="F30" s="18" t="s">
        <v>79</v>
      </c>
      <c r="G30" s="161"/>
      <c r="H30" s="140"/>
      <c r="J30" s="1" t="b">
        <f>EXACT(G30,'Vh5205_C-94'!G30)</f>
        <v>1</v>
      </c>
    </row>
    <row r="31" spans="1:10" s="7" customFormat="1" ht="31" x14ac:dyDescent="0.35">
      <c r="A31" s="90">
        <v>28</v>
      </c>
      <c r="B31" s="10" t="s">
        <v>689</v>
      </c>
      <c r="C31" s="156" t="s">
        <v>324</v>
      </c>
      <c r="D31" s="50"/>
      <c r="E31" s="156"/>
      <c r="F31" s="19" t="s">
        <v>26</v>
      </c>
      <c r="G31" s="161" t="s">
        <v>460</v>
      </c>
      <c r="H31" s="177" t="s">
        <v>652</v>
      </c>
      <c r="J31" s="176" t="b">
        <f>EXACT(G31,'Vh5205_C-94'!G31)</f>
        <v>1</v>
      </c>
    </row>
    <row r="32" spans="1:10" s="7" customFormat="1" x14ac:dyDescent="0.35">
      <c r="A32" s="90">
        <v>29</v>
      </c>
      <c r="B32" s="10" t="s">
        <v>689</v>
      </c>
      <c r="C32" s="156" t="s">
        <v>303</v>
      </c>
      <c r="D32" s="50"/>
      <c r="E32" s="156"/>
      <c r="F32" s="19" t="s">
        <v>26</v>
      </c>
      <c r="G32" s="161" t="s">
        <v>461</v>
      </c>
      <c r="H32" s="177" t="s">
        <v>652</v>
      </c>
      <c r="J32" s="176" t="b">
        <f>EXACT(G32,'Vh5205_C-94'!G32)</f>
        <v>1</v>
      </c>
    </row>
    <row r="33" spans="1:10" ht="31" x14ac:dyDescent="0.35">
      <c r="A33" s="90">
        <v>30</v>
      </c>
      <c r="B33" s="10" t="s">
        <v>689</v>
      </c>
      <c r="C33" s="156" t="s">
        <v>304</v>
      </c>
      <c r="D33" s="50"/>
      <c r="E33" s="50"/>
      <c r="F33" s="19" t="s">
        <v>79</v>
      </c>
      <c r="G33" s="161" t="s">
        <v>285</v>
      </c>
      <c r="H33" s="140" t="s">
        <v>652</v>
      </c>
      <c r="J33" s="176" t="b">
        <f>EXACT(G33,'Vh5205_C-94'!G33)</f>
        <v>1</v>
      </c>
    </row>
    <row r="34" spans="1:10" x14ac:dyDescent="0.35">
      <c r="A34" s="90">
        <v>31</v>
      </c>
      <c r="B34" s="10" t="s">
        <v>689</v>
      </c>
      <c r="C34" s="156" t="s">
        <v>83</v>
      </c>
      <c r="D34" s="50"/>
      <c r="E34" s="50" t="s">
        <v>85</v>
      </c>
      <c r="F34" s="19" t="s">
        <v>79</v>
      </c>
      <c r="G34" s="192"/>
      <c r="H34" s="140"/>
      <c r="J34" s="1" t="b">
        <f>EXACT(G34,'Vh5205_C-94'!G34)</f>
        <v>1</v>
      </c>
    </row>
    <row r="35" spans="1:10" x14ac:dyDescent="0.35">
      <c r="A35" s="90">
        <v>32</v>
      </c>
      <c r="B35" s="10" t="s">
        <v>689</v>
      </c>
      <c r="C35" s="156" t="s">
        <v>84</v>
      </c>
      <c r="D35" s="50"/>
      <c r="E35" s="50"/>
      <c r="F35" s="19" t="s">
        <v>79</v>
      </c>
      <c r="G35" s="192"/>
      <c r="H35" s="140"/>
      <c r="J35" s="1" t="b">
        <f>EXACT(G35,'Vh5205_C-94'!G35)</f>
        <v>1</v>
      </c>
    </row>
    <row r="36" spans="1:10" x14ac:dyDescent="0.35">
      <c r="A36" s="90">
        <v>33</v>
      </c>
      <c r="B36" s="10" t="s">
        <v>689</v>
      </c>
      <c r="C36" s="156" t="s">
        <v>61</v>
      </c>
      <c r="D36" s="50"/>
      <c r="E36" s="50"/>
      <c r="F36" s="19" t="s">
        <v>26</v>
      </c>
      <c r="G36" s="192" t="s">
        <v>611</v>
      </c>
      <c r="H36" s="140" t="s">
        <v>652</v>
      </c>
      <c r="J36" s="176" t="b">
        <f>EXACT(G36,'Vh5205_C-94'!G36)</f>
        <v>1</v>
      </c>
    </row>
    <row r="37" spans="1:10" x14ac:dyDescent="0.35">
      <c r="A37" s="90">
        <v>34</v>
      </c>
      <c r="B37" s="13" t="s">
        <v>689</v>
      </c>
      <c r="C37" s="13" t="s">
        <v>56</v>
      </c>
      <c r="D37" s="50"/>
      <c r="E37" s="50"/>
      <c r="F37" s="22" t="s">
        <v>26</v>
      </c>
      <c r="G37" s="194" t="s">
        <v>201</v>
      </c>
      <c r="H37" s="182" t="s">
        <v>652</v>
      </c>
      <c r="J37" s="176" t="b">
        <f>EXACT(G37,'Vh5205_C-94'!G37)</f>
        <v>1</v>
      </c>
    </row>
    <row r="38" spans="1:10" s="7" customFormat="1" x14ac:dyDescent="0.35">
      <c r="A38" s="90">
        <v>35</v>
      </c>
      <c r="B38" s="10" t="s">
        <v>690</v>
      </c>
      <c r="C38" s="156" t="s">
        <v>77</v>
      </c>
      <c r="D38" s="100"/>
      <c r="E38" s="102"/>
      <c r="F38" s="19" t="s">
        <v>26</v>
      </c>
      <c r="G38" s="161" t="s">
        <v>278</v>
      </c>
      <c r="H38" s="177" t="s">
        <v>652</v>
      </c>
      <c r="J38" s="176" t="b">
        <f>EXACT(G38,'Vh5205_C-94'!G38)</f>
        <v>1</v>
      </c>
    </row>
    <row r="39" spans="1:10" s="7" customFormat="1" ht="63" customHeight="1" x14ac:dyDescent="0.35">
      <c r="A39" s="90">
        <v>36</v>
      </c>
      <c r="B39" s="10" t="s">
        <v>690</v>
      </c>
      <c r="C39" s="156" t="s">
        <v>560</v>
      </c>
      <c r="D39" s="50"/>
      <c r="E39" s="156"/>
      <c r="F39" s="19" t="s">
        <v>26</v>
      </c>
      <c r="G39" s="161" t="s">
        <v>716</v>
      </c>
      <c r="H39" s="177" t="s">
        <v>652</v>
      </c>
      <c r="J39" s="176" t="b">
        <f>EXACT(G39,'Vh5205_C-94'!G39)</f>
        <v>1</v>
      </c>
    </row>
    <row r="40" spans="1:10" s="7" customFormat="1" ht="31" x14ac:dyDescent="0.35">
      <c r="A40" s="90">
        <v>37</v>
      </c>
      <c r="B40" s="10" t="s">
        <v>690</v>
      </c>
      <c r="C40" s="156" t="s">
        <v>305</v>
      </c>
      <c r="D40" s="50"/>
      <c r="E40" s="156"/>
      <c r="F40" s="19" t="s">
        <v>26</v>
      </c>
      <c r="G40" s="161" t="s">
        <v>619</v>
      </c>
      <c r="H40" s="177" t="s">
        <v>652</v>
      </c>
      <c r="J40" s="176" t="b">
        <f>EXACT(G40,'Vh5205_C-94'!G40)</f>
        <v>1</v>
      </c>
    </row>
    <row r="41" spans="1:10" s="7" customFormat="1" x14ac:dyDescent="0.35">
      <c r="A41" s="90">
        <v>38</v>
      </c>
      <c r="B41" s="10" t="s">
        <v>690</v>
      </c>
      <c r="C41" s="156" t="s">
        <v>128</v>
      </c>
      <c r="D41" s="50"/>
      <c r="E41" s="156"/>
      <c r="F41" s="19" t="s">
        <v>26</v>
      </c>
      <c r="G41" s="195">
        <v>35458</v>
      </c>
      <c r="H41" s="177" t="s">
        <v>652</v>
      </c>
      <c r="J41" s="176" t="b">
        <f>EXACT(G41,'Vh5205_C-94'!G41)</f>
        <v>1</v>
      </c>
    </row>
    <row r="42" spans="1:10" s="7" customFormat="1" x14ac:dyDescent="0.35">
      <c r="A42" s="90">
        <v>39</v>
      </c>
      <c r="B42" s="10" t="s">
        <v>690</v>
      </c>
      <c r="C42" s="156" t="s">
        <v>129</v>
      </c>
      <c r="D42" s="50"/>
      <c r="E42" s="156"/>
      <c r="F42" s="19" t="s">
        <v>79</v>
      </c>
      <c r="G42" s="192"/>
      <c r="H42" s="177" t="s">
        <v>652</v>
      </c>
      <c r="J42" s="176" t="b">
        <f>EXACT(G42,'Vh5205_C-94'!G42)</f>
        <v>1</v>
      </c>
    </row>
    <row r="43" spans="1:10" s="7" customFormat="1" x14ac:dyDescent="0.35">
      <c r="A43" s="90">
        <v>40</v>
      </c>
      <c r="B43" s="13" t="s">
        <v>690</v>
      </c>
      <c r="C43" s="13" t="s">
        <v>130</v>
      </c>
      <c r="D43" s="87"/>
      <c r="E43" s="13"/>
      <c r="F43" s="22" t="s">
        <v>79</v>
      </c>
      <c r="G43" s="194"/>
      <c r="H43" s="180" t="s">
        <v>652</v>
      </c>
      <c r="J43" s="176" t="b">
        <f>EXACT(G43,'Vh5205_C-94'!G43)</f>
        <v>1</v>
      </c>
    </row>
    <row r="44" spans="1:10" x14ac:dyDescent="0.35">
      <c r="A44" s="90">
        <v>41</v>
      </c>
      <c r="B44" s="102" t="s">
        <v>691</v>
      </c>
      <c r="C44" s="102" t="s">
        <v>117</v>
      </c>
      <c r="D44" s="100"/>
      <c r="E44" s="100"/>
      <c r="F44" s="18" t="s">
        <v>26</v>
      </c>
      <c r="G44" s="161" t="s">
        <v>462</v>
      </c>
      <c r="H44" s="177" t="s">
        <v>652</v>
      </c>
      <c r="J44" s="176" t="b">
        <f>EXACT(G44,'Vh5205_C-94'!G44)</f>
        <v>1</v>
      </c>
    </row>
    <row r="45" spans="1:10" s="7" customFormat="1" x14ac:dyDescent="0.35">
      <c r="A45" s="90">
        <v>42</v>
      </c>
      <c r="B45" s="10" t="s">
        <v>691</v>
      </c>
      <c r="C45" s="156" t="s">
        <v>87</v>
      </c>
      <c r="D45" s="50"/>
      <c r="E45" s="156"/>
      <c r="F45" s="19" t="s">
        <v>79</v>
      </c>
      <c r="G45" s="192" t="s">
        <v>196</v>
      </c>
      <c r="H45" s="177" t="s">
        <v>652</v>
      </c>
      <c r="J45" s="176" t="b">
        <f>EXACT(G45,'Vh5205_C-94'!G45)</f>
        <v>1</v>
      </c>
    </row>
    <row r="46" spans="1:10" s="7" customFormat="1" x14ac:dyDescent="0.35">
      <c r="A46" s="90">
        <v>43</v>
      </c>
      <c r="B46" s="10" t="s">
        <v>691</v>
      </c>
      <c r="C46" s="156" t="s">
        <v>88</v>
      </c>
      <c r="D46" s="50"/>
      <c r="E46" s="156"/>
      <c r="F46" s="19" t="s">
        <v>79</v>
      </c>
      <c r="G46" s="192" t="s">
        <v>196</v>
      </c>
      <c r="H46" s="177" t="s">
        <v>652</v>
      </c>
      <c r="J46" s="176" t="b">
        <f>EXACT(G46,'Vh5205_C-94'!G46)</f>
        <v>1</v>
      </c>
    </row>
    <row r="47" spans="1:10" s="7" customFormat="1" x14ac:dyDescent="0.35">
      <c r="A47" s="90">
        <v>44</v>
      </c>
      <c r="B47" s="10" t="s">
        <v>691</v>
      </c>
      <c r="C47" s="156" t="s">
        <v>60</v>
      </c>
      <c r="D47" s="50"/>
      <c r="E47" s="156"/>
      <c r="F47" s="19" t="s">
        <v>79</v>
      </c>
      <c r="G47" s="192" t="s">
        <v>500</v>
      </c>
      <c r="H47" s="177" t="s">
        <v>652</v>
      </c>
      <c r="J47" s="176" t="b">
        <f>EXACT(G47,'Vh5205_C-94'!G47)</f>
        <v>1</v>
      </c>
    </row>
    <row r="48" spans="1:10" x14ac:dyDescent="0.35">
      <c r="A48" s="90">
        <v>45</v>
      </c>
      <c r="B48" s="10" t="s">
        <v>691</v>
      </c>
      <c r="C48" s="156" t="s">
        <v>90</v>
      </c>
      <c r="D48" s="50"/>
      <c r="E48" s="50"/>
      <c r="F48" s="19" t="s">
        <v>26</v>
      </c>
      <c r="G48" s="161" t="s">
        <v>649</v>
      </c>
      <c r="H48" s="177" t="s">
        <v>652</v>
      </c>
      <c r="J48" s="176" t="b">
        <f>EXACT(G48,'Vh5205_C-94'!G48)</f>
        <v>1</v>
      </c>
    </row>
    <row r="49" spans="1:10" x14ac:dyDescent="0.35">
      <c r="A49" s="90">
        <v>46</v>
      </c>
      <c r="B49" s="10" t="s">
        <v>691</v>
      </c>
      <c r="C49" s="156" t="s">
        <v>91</v>
      </c>
      <c r="D49" s="50"/>
      <c r="E49" s="50"/>
      <c r="F49" s="19" t="s">
        <v>26</v>
      </c>
      <c r="G49" s="161" t="s">
        <v>649</v>
      </c>
      <c r="H49" s="177" t="s">
        <v>652</v>
      </c>
      <c r="J49" s="176" t="b">
        <f>EXACT(G49,'Vh5205_C-94'!G49)</f>
        <v>1</v>
      </c>
    </row>
    <row r="50" spans="1:10" x14ac:dyDescent="0.35">
      <c r="A50" s="90">
        <v>47</v>
      </c>
      <c r="B50" s="13" t="s">
        <v>691</v>
      </c>
      <c r="C50" s="13" t="s">
        <v>86</v>
      </c>
      <c r="D50" s="87"/>
      <c r="E50" s="87"/>
      <c r="F50" s="22" t="s">
        <v>79</v>
      </c>
      <c r="G50" s="194"/>
      <c r="H50" s="180"/>
      <c r="J50" s="1" t="b">
        <f>EXACT(G50,'Vh5205_C-94'!G50)</f>
        <v>1</v>
      </c>
    </row>
    <row r="51" spans="1:10" s="7" customFormat="1" x14ac:dyDescent="0.35">
      <c r="A51" s="90">
        <v>48</v>
      </c>
      <c r="B51" s="10" t="s">
        <v>692</v>
      </c>
      <c r="C51" s="156" t="s">
        <v>95</v>
      </c>
      <c r="D51" s="50"/>
      <c r="E51" s="156" t="s">
        <v>92</v>
      </c>
      <c r="F51" s="19" t="s">
        <v>26</v>
      </c>
      <c r="G51" s="161" t="s">
        <v>680</v>
      </c>
      <c r="H51" s="177" t="s">
        <v>652</v>
      </c>
      <c r="J51" s="176" t="b">
        <f>EXACT(G51,'Vh5205_C-94'!G51)</f>
        <v>1</v>
      </c>
    </row>
    <row r="52" spans="1:10" s="7" customFormat="1" x14ac:dyDescent="0.35">
      <c r="A52" s="90">
        <v>49</v>
      </c>
      <c r="B52" s="10" t="s">
        <v>692</v>
      </c>
      <c r="C52" s="156" t="s">
        <v>96</v>
      </c>
      <c r="D52" s="50"/>
      <c r="E52" s="156" t="s">
        <v>92</v>
      </c>
      <c r="F52" s="19" t="s">
        <v>26</v>
      </c>
      <c r="G52" s="161" t="s">
        <v>681</v>
      </c>
      <c r="H52" s="177" t="s">
        <v>652</v>
      </c>
      <c r="J52" s="176" t="b">
        <f>EXACT(G52,'Vh5205_C-94'!G52)</f>
        <v>1</v>
      </c>
    </row>
    <row r="53" spans="1:10" s="7" customFormat="1" x14ac:dyDescent="0.35">
      <c r="A53" s="90">
        <v>50</v>
      </c>
      <c r="B53" s="10" t="s">
        <v>692</v>
      </c>
      <c r="C53" s="156" t="s">
        <v>149</v>
      </c>
      <c r="D53" s="50"/>
      <c r="E53" s="156"/>
      <c r="F53" s="19" t="s">
        <v>26</v>
      </c>
      <c r="G53" s="161" t="s">
        <v>681</v>
      </c>
      <c r="H53" s="177" t="s">
        <v>652</v>
      </c>
      <c r="J53" s="176" t="b">
        <f>EXACT(G53,'Vh5205_C-94'!G53)</f>
        <v>1</v>
      </c>
    </row>
    <row r="54" spans="1:10" s="7" customFormat="1" x14ac:dyDescent="0.35">
      <c r="A54" s="90">
        <v>51</v>
      </c>
      <c r="B54" s="10" t="s">
        <v>692</v>
      </c>
      <c r="C54" s="156" t="s">
        <v>148</v>
      </c>
      <c r="D54" s="156"/>
      <c r="E54" s="156"/>
      <c r="F54" s="19" t="s">
        <v>79</v>
      </c>
      <c r="G54" s="161" t="s">
        <v>467</v>
      </c>
      <c r="H54" s="177" t="s">
        <v>652</v>
      </c>
      <c r="J54" s="176" t="b">
        <f>EXACT(G54,'Vh5205_C-94'!G54)</f>
        <v>1</v>
      </c>
    </row>
    <row r="55" spans="1:10" s="7" customFormat="1" x14ac:dyDescent="0.35">
      <c r="A55" s="90">
        <v>52</v>
      </c>
      <c r="B55" s="10" t="s">
        <v>692</v>
      </c>
      <c r="C55" s="156" t="s">
        <v>100</v>
      </c>
      <c r="D55" s="50"/>
      <c r="E55" s="156"/>
      <c r="F55" s="19" t="s">
        <v>79</v>
      </c>
      <c r="G55" s="192"/>
      <c r="H55" s="177"/>
      <c r="J55" s="1" t="b">
        <f>EXACT(G55,'Vh5205_C-94'!G55)</f>
        <v>1</v>
      </c>
    </row>
    <row r="56" spans="1:10" s="7" customFormat="1" x14ac:dyDescent="0.35">
      <c r="A56" s="90">
        <v>53</v>
      </c>
      <c r="B56" s="13" t="s">
        <v>692</v>
      </c>
      <c r="C56" s="13" t="s">
        <v>101</v>
      </c>
      <c r="D56" s="87"/>
      <c r="E56" s="13"/>
      <c r="F56" s="22" t="s">
        <v>79</v>
      </c>
      <c r="G56" s="194"/>
      <c r="H56" s="180"/>
      <c r="J56" s="1" t="b">
        <f>EXACT(G56,'Vh5205_C-94'!G56)</f>
        <v>1</v>
      </c>
    </row>
    <row r="57" spans="1:10" s="7" customFormat="1" x14ac:dyDescent="0.35">
      <c r="A57" s="90">
        <v>54</v>
      </c>
      <c r="B57" s="102" t="s">
        <v>693</v>
      </c>
      <c r="C57" s="102" t="s">
        <v>93</v>
      </c>
      <c r="D57" s="50"/>
      <c r="E57" s="156"/>
      <c r="F57" s="19" t="s">
        <v>26</v>
      </c>
      <c r="G57" s="161" t="s">
        <v>483</v>
      </c>
      <c r="H57" s="177" t="s">
        <v>652</v>
      </c>
      <c r="J57" s="176" t="b">
        <f>EXACT(G57,'Vh5205_C-94'!G57)</f>
        <v>1</v>
      </c>
    </row>
    <row r="58" spans="1:10" s="7" customFormat="1" x14ac:dyDescent="0.35">
      <c r="A58" s="90">
        <v>55</v>
      </c>
      <c r="B58" s="10" t="s">
        <v>693</v>
      </c>
      <c r="C58" s="156" t="s">
        <v>104</v>
      </c>
      <c r="D58" s="50"/>
      <c r="E58" s="156" t="s">
        <v>51</v>
      </c>
      <c r="F58" s="19" t="s">
        <v>26</v>
      </c>
      <c r="G58" s="161" t="s">
        <v>524</v>
      </c>
      <c r="H58" s="177" t="s">
        <v>652</v>
      </c>
      <c r="J58" s="176" t="b">
        <f>EXACT(G58,'Vh5205_C-94'!G58)</f>
        <v>1</v>
      </c>
    </row>
    <row r="59" spans="1:10" s="7" customFormat="1" x14ac:dyDescent="0.35">
      <c r="A59" s="90">
        <v>56</v>
      </c>
      <c r="B59" s="104" t="s">
        <v>693</v>
      </c>
      <c r="C59" s="158" t="s">
        <v>418</v>
      </c>
      <c r="D59" s="158"/>
      <c r="E59" s="158"/>
      <c r="F59" s="19" t="s">
        <v>26</v>
      </c>
      <c r="G59" s="161" t="s">
        <v>524</v>
      </c>
      <c r="H59" s="177" t="s">
        <v>652</v>
      </c>
      <c r="J59" s="176" t="b">
        <f>EXACT(G59,'Vh5205_C-94'!G59)</f>
        <v>1</v>
      </c>
    </row>
    <row r="60" spans="1:10" s="7" customFormat="1" x14ac:dyDescent="0.35">
      <c r="A60" s="90">
        <v>57</v>
      </c>
      <c r="B60" s="10" t="s">
        <v>693</v>
      </c>
      <c r="C60" s="156" t="s">
        <v>103</v>
      </c>
      <c r="D60" s="50"/>
      <c r="E60" s="156"/>
      <c r="F60" s="19" t="s">
        <v>79</v>
      </c>
      <c r="G60" s="161" t="s">
        <v>524</v>
      </c>
      <c r="H60" s="177" t="s">
        <v>652</v>
      </c>
      <c r="J60" s="176" t="b">
        <f>EXACT(G60,'Vh5205_C-94'!G60)</f>
        <v>1</v>
      </c>
    </row>
    <row r="61" spans="1:10" s="7" customFormat="1" x14ac:dyDescent="0.35">
      <c r="A61" s="90">
        <v>58</v>
      </c>
      <c r="B61" s="10" t="s">
        <v>693</v>
      </c>
      <c r="C61" s="156" t="s">
        <v>125</v>
      </c>
      <c r="D61" s="50"/>
      <c r="E61" s="156" t="s">
        <v>1</v>
      </c>
      <c r="F61" s="19" t="s">
        <v>79</v>
      </c>
      <c r="G61" s="161"/>
      <c r="H61" s="177"/>
      <c r="J61" s="2" t="b">
        <f>EXACT(G61,'Vh5205_C-94'!G61)</f>
        <v>1</v>
      </c>
    </row>
    <row r="62" spans="1:10" s="7" customFormat="1" x14ac:dyDescent="0.35">
      <c r="A62" s="90">
        <v>59</v>
      </c>
      <c r="B62" s="10" t="s">
        <v>693</v>
      </c>
      <c r="C62" s="156" t="s">
        <v>62</v>
      </c>
      <c r="D62" s="50"/>
      <c r="E62" s="156" t="s">
        <v>51</v>
      </c>
      <c r="F62" s="19" t="s">
        <v>79</v>
      </c>
      <c r="G62" s="161"/>
      <c r="H62" s="177"/>
      <c r="J62" s="1" t="b">
        <f>EXACT(G62,'Vh5205_C-94'!G62)</f>
        <v>1</v>
      </c>
    </row>
    <row r="63" spans="1:10" s="7" customFormat="1" x14ac:dyDescent="0.35">
      <c r="A63" s="90">
        <v>60</v>
      </c>
      <c r="B63" s="10" t="s">
        <v>693</v>
      </c>
      <c r="C63" s="156" t="s">
        <v>63</v>
      </c>
      <c r="D63" s="50"/>
      <c r="E63" s="156" t="s">
        <v>51</v>
      </c>
      <c r="F63" s="19" t="s">
        <v>79</v>
      </c>
      <c r="G63" s="161"/>
      <c r="H63" s="177"/>
      <c r="J63" s="1" t="b">
        <f>EXACT(G63,'Vh5205_C-94'!G63)</f>
        <v>1</v>
      </c>
    </row>
    <row r="64" spans="1:10" s="7" customFormat="1" x14ac:dyDescent="0.35">
      <c r="A64" s="90">
        <v>61</v>
      </c>
      <c r="B64" s="10" t="s">
        <v>693</v>
      </c>
      <c r="C64" s="156" t="s">
        <v>126</v>
      </c>
      <c r="D64" s="50"/>
      <c r="E64" s="156"/>
      <c r="F64" s="19" t="s">
        <v>79</v>
      </c>
      <c r="G64" s="161"/>
      <c r="H64" s="177"/>
      <c r="J64" s="1" t="b">
        <f>EXACT(G64,'Vh5205_C-94'!G64)</f>
        <v>1</v>
      </c>
    </row>
    <row r="65" spans="1:10" s="7" customFormat="1" x14ac:dyDescent="0.35">
      <c r="A65" s="90">
        <v>62</v>
      </c>
      <c r="B65" s="10" t="s">
        <v>693</v>
      </c>
      <c r="C65" s="156" t="s">
        <v>52</v>
      </c>
      <c r="D65" s="50"/>
      <c r="E65" s="156"/>
      <c r="F65" s="19" t="s">
        <v>79</v>
      </c>
      <c r="G65" s="161"/>
      <c r="H65" s="177"/>
      <c r="J65" s="1" t="b">
        <f>EXACT(G65,'Vh5205_C-94'!G65)</f>
        <v>1</v>
      </c>
    </row>
    <row r="66" spans="1:10" s="7" customFormat="1" x14ac:dyDescent="0.35">
      <c r="A66" s="90">
        <v>63</v>
      </c>
      <c r="B66" s="10" t="s">
        <v>693</v>
      </c>
      <c r="C66" s="156" t="s">
        <v>189</v>
      </c>
      <c r="D66" s="50"/>
      <c r="E66" s="156"/>
      <c r="F66" s="19" t="s">
        <v>79</v>
      </c>
      <c r="G66" s="161" t="s">
        <v>682</v>
      </c>
      <c r="H66" s="177" t="s">
        <v>652</v>
      </c>
      <c r="J66" s="176" t="b">
        <f>EXACT(G66,'Vh5205_C-94'!G66)</f>
        <v>1</v>
      </c>
    </row>
    <row r="67" spans="1:10" s="7" customFormat="1" x14ac:dyDescent="0.35">
      <c r="A67" s="90">
        <v>64</v>
      </c>
      <c r="B67" s="10" t="s">
        <v>693</v>
      </c>
      <c r="C67" s="156" t="s">
        <v>190</v>
      </c>
      <c r="D67" s="50"/>
      <c r="E67" s="156"/>
      <c r="F67" s="19" t="s">
        <v>79</v>
      </c>
      <c r="G67" s="192"/>
      <c r="H67" s="177"/>
      <c r="J67" s="1" t="b">
        <f>EXACT(G67,'Vh5205_C-94'!G67)</f>
        <v>1</v>
      </c>
    </row>
    <row r="68" spans="1:10" s="7" customFormat="1" x14ac:dyDescent="0.35">
      <c r="A68" s="90">
        <v>65</v>
      </c>
      <c r="B68" s="10" t="s">
        <v>693</v>
      </c>
      <c r="C68" s="156" t="s">
        <v>382</v>
      </c>
      <c r="D68" s="50"/>
      <c r="E68" s="156"/>
      <c r="F68" s="19" t="s">
        <v>79</v>
      </c>
      <c r="G68" s="161" t="s">
        <v>620</v>
      </c>
      <c r="H68" s="177" t="s">
        <v>652</v>
      </c>
      <c r="J68" s="176" t="b">
        <f>EXACT(G68,'Vh5205_C-94'!G68)</f>
        <v>1</v>
      </c>
    </row>
    <row r="69" spans="1:10" s="7" customFormat="1" ht="31" x14ac:dyDescent="0.35">
      <c r="A69" s="90">
        <v>66</v>
      </c>
      <c r="B69" s="10" t="s">
        <v>693</v>
      </c>
      <c r="C69" s="156" t="s">
        <v>419</v>
      </c>
      <c r="D69" s="50"/>
      <c r="E69" s="156" t="s">
        <v>480</v>
      </c>
      <c r="F69" s="19" t="s">
        <v>26</v>
      </c>
      <c r="G69" s="161" t="s">
        <v>650</v>
      </c>
      <c r="H69" s="177" t="s">
        <v>652</v>
      </c>
      <c r="J69" s="176" t="b">
        <f>EXACT(G69,'Vh5205_C-94'!G69)</f>
        <v>1</v>
      </c>
    </row>
    <row r="70" spans="1:10" s="7" customFormat="1" ht="31" x14ac:dyDescent="0.35">
      <c r="A70" s="90">
        <v>67</v>
      </c>
      <c r="B70" s="104" t="s">
        <v>693</v>
      </c>
      <c r="C70" s="158" t="s">
        <v>420</v>
      </c>
      <c r="D70" s="158"/>
      <c r="E70" s="158"/>
      <c r="F70" s="19" t="s">
        <v>26</v>
      </c>
      <c r="G70" s="161" t="s">
        <v>717</v>
      </c>
      <c r="H70" s="177" t="s">
        <v>652</v>
      </c>
      <c r="J70" s="176" t="b">
        <f>EXACT(G70,'Vh5205_C-94'!G70)</f>
        <v>1</v>
      </c>
    </row>
    <row r="71" spans="1:10" s="7" customFormat="1" x14ac:dyDescent="0.35">
      <c r="A71" s="90">
        <v>68</v>
      </c>
      <c r="B71" s="104" t="s">
        <v>693</v>
      </c>
      <c r="C71" s="158" t="s">
        <v>421</v>
      </c>
      <c r="D71" s="107"/>
      <c r="E71" s="107"/>
      <c r="F71" s="22" t="s">
        <v>79</v>
      </c>
      <c r="G71" s="196"/>
      <c r="H71" s="180"/>
      <c r="J71" s="1" t="b">
        <f>EXACT(G71,'Vh5205_C-94'!G71)</f>
        <v>1</v>
      </c>
    </row>
    <row r="72" spans="1:10" s="7" customFormat="1" x14ac:dyDescent="0.35">
      <c r="A72" s="90">
        <v>69</v>
      </c>
      <c r="B72" s="102" t="s">
        <v>694</v>
      </c>
      <c r="C72" s="102" t="s">
        <v>422</v>
      </c>
      <c r="D72" s="156"/>
      <c r="E72" s="156"/>
      <c r="F72" s="19" t="s">
        <v>79</v>
      </c>
      <c r="G72" s="161"/>
      <c r="H72" s="177"/>
      <c r="J72" s="1" t="b">
        <f>EXACT(G72,'Vh5205_C-94'!G72)</f>
        <v>1</v>
      </c>
    </row>
    <row r="73" spans="1:10" s="7" customFormat="1" x14ac:dyDescent="0.35">
      <c r="A73" s="90">
        <v>70</v>
      </c>
      <c r="B73" s="13" t="s">
        <v>694</v>
      </c>
      <c r="C73" s="13" t="s">
        <v>102</v>
      </c>
      <c r="D73" s="87"/>
      <c r="E73" s="13"/>
      <c r="F73" s="22" t="s">
        <v>79</v>
      </c>
      <c r="G73" s="196"/>
      <c r="H73" s="180"/>
      <c r="J73" s="1" t="b">
        <f>EXACT(G73,'Vh5205_C-94'!G73)</f>
        <v>1</v>
      </c>
    </row>
    <row r="74" spans="1:10" s="7" customFormat="1" x14ac:dyDescent="0.35">
      <c r="A74" s="90">
        <v>71</v>
      </c>
      <c r="B74" s="10" t="s">
        <v>695</v>
      </c>
      <c r="C74" s="156" t="s">
        <v>127</v>
      </c>
      <c r="D74" s="50"/>
      <c r="E74" s="156" t="s">
        <v>4</v>
      </c>
      <c r="F74" s="19" t="s">
        <v>79</v>
      </c>
      <c r="G74" s="161"/>
      <c r="H74" s="177"/>
      <c r="J74" s="1" t="b">
        <f>EXACT(G74,'Vh5205_C-94'!G74)</f>
        <v>1</v>
      </c>
    </row>
    <row r="75" spans="1:10" s="7" customFormat="1" x14ac:dyDescent="0.35">
      <c r="A75" s="90">
        <v>72</v>
      </c>
      <c r="B75" s="10" t="s">
        <v>695</v>
      </c>
      <c r="C75" s="156" t="s">
        <v>298</v>
      </c>
      <c r="D75" s="50"/>
      <c r="E75" s="156" t="s">
        <v>4</v>
      </c>
      <c r="F75" s="19" t="s">
        <v>79</v>
      </c>
      <c r="G75" s="192" t="s">
        <v>655</v>
      </c>
      <c r="H75" s="177" t="s">
        <v>652</v>
      </c>
      <c r="J75" s="176" t="b">
        <f>EXACT(G75,'Vh5205_C-94'!G75)</f>
        <v>1</v>
      </c>
    </row>
    <row r="76" spans="1:10" s="7" customFormat="1" x14ac:dyDescent="0.35">
      <c r="A76" s="90">
        <v>73</v>
      </c>
      <c r="B76" s="10" t="s">
        <v>695</v>
      </c>
      <c r="C76" s="156" t="s">
        <v>115</v>
      </c>
      <c r="D76" s="50"/>
      <c r="E76" s="156"/>
      <c r="F76" s="22" t="s">
        <v>79</v>
      </c>
      <c r="G76" s="196"/>
      <c r="H76" s="180"/>
      <c r="J76" s="1" t="b">
        <f>EXACT(G76,'Vh5205_C-94'!G76)</f>
        <v>1</v>
      </c>
    </row>
    <row r="77" spans="1:10" x14ac:dyDescent="0.35">
      <c r="A77" s="90">
        <v>74</v>
      </c>
      <c r="B77" s="100" t="s">
        <v>696</v>
      </c>
      <c r="C77" s="100" t="s">
        <v>43</v>
      </c>
      <c r="D77" s="100"/>
      <c r="E77" s="100"/>
      <c r="F77" s="19" t="s">
        <v>79</v>
      </c>
      <c r="G77" s="161" t="s">
        <v>511</v>
      </c>
      <c r="H77" s="140"/>
      <c r="J77" s="1" t="b">
        <f>EXACT(G77,'Vh5205_C-94'!G77)</f>
        <v>0</v>
      </c>
    </row>
    <row r="78" spans="1:10" x14ac:dyDescent="0.35">
      <c r="A78" s="90">
        <v>75</v>
      </c>
      <c r="B78" s="146" t="s">
        <v>696</v>
      </c>
      <c r="C78" s="50" t="s">
        <v>114</v>
      </c>
      <c r="D78" s="50"/>
      <c r="E78" s="50"/>
      <c r="F78" s="19" t="s">
        <v>79</v>
      </c>
      <c r="G78" s="161"/>
      <c r="H78" s="140"/>
      <c r="J78" s="1" t="b">
        <f>EXACT(G78,'Vh5205_C-94'!G78)</f>
        <v>1</v>
      </c>
    </row>
    <row r="79" spans="1:10" x14ac:dyDescent="0.35">
      <c r="A79" s="90">
        <v>76</v>
      </c>
      <c r="B79" s="10" t="s">
        <v>696</v>
      </c>
      <c r="C79" s="156" t="s">
        <v>338</v>
      </c>
      <c r="D79" s="50"/>
      <c r="E79" s="50"/>
      <c r="F79" s="19" t="s">
        <v>79</v>
      </c>
      <c r="G79" s="192" t="s">
        <v>615</v>
      </c>
      <c r="H79" s="140" t="s">
        <v>652</v>
      </c>
      <c r="J79" s="176" t="b">
        <f>EXACT(G79,'Vh5205_C-94'!G79)</f>
        <v>1</v>
      </c>
    </row>
    <row r="80" spans="1:10" x14ac:dyDescent="0.35">
      <c r="A80" s="90">
        <v>77</v>
      </c>
      <c r="B80" s="10" t="s">
        <v>696</v>
      </c>
      <c r="C80" s="156" t="s">
        <v>150</v>
      </c>
      <c r="D80" s="50"/>
      <c r="E80" s="50"/>
      <c r="F80" s="19" t="s">
        <v>26</v>
      </c>
      <c r="G80" s="192" t="s">
        <v>612</v>
      </c>
      <c r="H80" s="140" t="s">
        <v>652</v>
      </c>
      <c r="J80" s="176" t="b">
        <f>EXACT(G80,'Vh5205_C-94'!G80)</f>
        <v>1</v>
      </c>
    </row>
    <row r="81" spans="1:10" x14ac:dyDescent="0.35">
      <c r="A81" s="90">
        <v>78</v>
      </c>
      <c r="B81" s="10" t="s">
        <v>696</v>
      </c>
      <c r="C81" s="156" t="s">
        <v>152</v>
      </c>
      <c r="D81" s="50"/>
      <c r="E81" s="50"/>
      <c r="F81" s="19" t="s">
        <v>26</v>
      </c>
      <c r="G81" s="192" t="s">
        <v>267</v>
      </c>
      <c r="H81" s="140" t="s">
        <v>652</v>
      </c>
      <c r="J81" s="176" t="b">
        <f>EXACT(G81,'Vh5205_C-94'!G81)</f>
        <v>1</v>
      </c>
    </row>
    <row r="82" spans="1:10" x14ac:dyDescent="0.35">
      <c r="A82" s="90">
        <v>79</v>
      </c>
      <c r="B82" s="10" t="s">
        <v>696</v>
      </c>
      <c r="C82" s="156" t="s">
        <v>153</v>
      </c>
      <c r="D82" s="50"/>
      <c r="E82" s="50"/>
      <c r="F82" s="19" t="s">
        <v>26</v>
      </c>
      <c r="G82" s="192" t="s">
        <v>268</v>
      </c>
      <c r="H82" s="140" t="s">
        <v>652</v>
      </c>
      <c r="J82" s="176" t="b">
        <f>EXACT(G82,'Vh5205_C-94'!G82)</f>
        <v>1</v>
      </c>
    </row>
    <row r="83" spans="1:10" ht="31" x14ac:dyDescent="0.35">
      <c r="A83" s="90">
        <v>80</v>
      </c>
      <c r="B83" s="10" t="s">
        <v>696</v>
      </c>
      <c r="C83" s="156" t="s">
        <v>9</v>
      </c>
      <c r="D83" s="50"/>
      <c r="E83" s="50"/>
      <c r="F83" s="19" t="s">
        <v>26</v>
      </c>
      <c r="G83" s="161" t="s">
        <v>715</v>
      </c>
      <c r="H83" s="140" t="s">
        <v>652</v>
      </c>
      <c r="J83" s="176" t="b">
        <f>EXACT(G83,'Vh5205_C-94'!G83)</f>
        <v>1</v>
      </c>
    </row>
    <row r="84" spans="1:10" x14ac:dyDescent="0.35">
      <c r="A84" s="90">
        <v>81</v>
      </c>
      <c r="B84" s="10" t="s">
        <v>696</v>
      </c>
      <c r="C84" s="156" t="s">
        <v>339</v>
      </c>
      <c r="D84" s="50"/>
      <c r="E84" s="50"/>
      <c r="F84" s="19" t="s">
        <v>26</v>
      </c>
      <c r="G84" s="161" t="s">
        <v>718</v>
      </c>
      <c r="H84" s="140" t="s">
        <v>652</v>
      </c>
      <c r="J84" s="176" t="b">
        <f>EXACT(G84,'Vh5205_C-94'!G84)</f>
        <v>1</v>
      </c>
    </row>
    <row r="85" spans="1:10" ht="31" x14ac:dyDescent="0.35">
      <c r="A85" s="90">
        <v>82</v>
      </c>
      <c r="B85" s="10" t="s">
        <v>696</v>
      </c>
      <c r="C85" s="156" t="s">
        <v>573</v>
      </c>
      <c r="D85" s="50"/>
      <c r="E85" s="50"/>
      <c r="F85" s="19" t="s">
        <v>26</v>
      </c>
      <c r="G85" s="161" t="s">
        <v>537</v>
      </c>
      <c r="H85" s="140" t="s">
        <v>652</v>
      </c>
      <c r="J85" s="176" t="b">
        <f>EXACT(G85,'Vh5205_C-94'!G85)</f>
        <v>1</v>
      </c>
    </row>
    <row r="86" spans="1:10" s="7" customFormat="1" ht="46.5" x14ac:dyDescent="0.35">
      <c r="A86" s="90">
        <v>83</v>
      </c>
      <c r="B86" s="13" t="s">
        <v>696</v>
      </c>
      <c r="C86" s="13" t="s">
        <v>133</v>
      </c>
      <c r="D86" s="87"/>
      <c r="E86" s="87" t="s">
        <v>51</v>
      </c>
      <c r="F86" s="22" t="s">
        <v>79</v>
      </c>
      <c r="G86" s="196" t="s">
        <v>651</v>
      </c>
      <c r="H86" s="182" t="s">
        <v>652</v>
      </c>
      <c r="J86" s="176" t="b">
        <f>EXACT(G86,'Vh5205_C-94'!G86)</f>
        <v>1</v>
      </c>
    </row>
    <row r="87" spans="1:10" x14ac:dyDescent="0.35">
      <c r="A87" s="90">
        <v>84</v>
      </c>
      <c r="B87" s="146" t="s">
        <v>697</v>
      </c>
      <c r="C87" s="50" t="s">
        <v>299</v>
      </c>
      <c r="D87" s="157"/>
      <c r="E87" s="50"/>
      <c r="F87" s="19" t="s">
        <v>79</v>
      </c>
      <c r="G87" s="204" t="s">
        <v>502</v>
      </c>
      <c r="H87" s="140" t="s">
        <v>652</v>
      </c>
      <c r="J87" s="176" t="b">
        <f>EXACT(G87,'Vh5205_C-94'!G87)</f>
        <v>1</v>
      </c>
    </row>
    <row r="88" spans="1:10" x14ac:dyDescent="0.35">
      <c r="A88" s="90">
        <v>85</v>
      </c>
      <c r="B88" s="10" t="s">
        <v>697</v>
      </c>
      <c r="C88" s="156" t="s">
        <v>300</v>
      </c>
      <c r="D88" s="157"/>
      <c r="E88" s="50"/>
      <c r="F88" s="19" t="s">
        <v>79</v>
      </c>
      <c r="G88" s="192" t="s">
        <v>617</v>
      </c>
      <c r="H88" s="140" t="s">
        <v>652</v>
      </c>
      <c r="J88" s="176" t="b">
        <f>EXACT(G88,'Vh5205_C-94'!G88)</f>
        <v>1</v>
      </c>
    </row>
    <row r="89" spans="1:10" x14ac:dyDescent="0.35">
      <c r="A89" s="90">
        <v>86</v>
      </c>
      <c r="B89" s="10" t="s">
        <v>697</v>
      </c>
      <c r="C89" s="156" t="s">
        <v>156</v>
      </c>
      <c r="D89" s="50"/>
      <c r="E89" s="50" t="s">
        <v>0</v>
      </c>
      <c r="F89" s="19" t="s">
        <v>79</v>
      </c>
      <c r="G89" s="192">
        <v>1</v>
      </c>
      <c r="H89" s="140" t="s">
        <v>652</v>
      </c>
      <c r="J89" s="176" t="b">
        <f>EXACT(G89,'Vh5205_C-94'!G89)</f>
        <v>1</v>
      </c>
    </row>
    <row r="90" spans="1:10" x14ac:dyDescent="0.35">
      <c r="A90" s="90">
        <v>87</v>
      </c>
      <c r="B90" s="10" t="s">
        <v>697</v>
      </c>
      <c r="C90" s="156" t="s">
        <v>132</v>
      </c>
      <c r="D90" s="50"/>
      <c r="E90" s="50" t="s">
        <v>0</v>
      </c>
      <c r="F90" s="19" t="s">
        <v>79</v>
      </c>
      <c r="G90" s="192">
        <v>20</v>
      </c>
      <c r="H90" s="140" t="s">
        <v>652</v>
      </c>
      <c r="J90" s="176" t="b">
        <f>EXACT(G90,'Vh5205_C-94'!G90)</f>
        <v>1</v>
      </c>
    </row>
    <row r="91" spans="1:10" s="7" customFormat="1" x14ac:dyDescent="0.35">
      <c r="A91" s="90">
        <v>88</v>
      </c>
      <c r="B91" s="10" t="s">
        <v>697</v>
      </c>
      <c r="C91" s="156" t="s">
        <v>343</v>
      </c>
      <c r="D91" s="50"/>
      <c r="E91" s="50"/>
      <c r="F91" s="20" t="s">
        <v>26</v>
      </c>
      <c r="G91" s="161" t="s">
        <v>625</v>
      </c>
      <c r="H91" s="140" t="s">
        <v>652</v>
      </c>
      <c r="J91" s="176" t="b">
        <f>EXACT(G91,'Vh5205_C-94'!G91)</f>
        <v>1</v>
      </c>
    </row>
    <row r="92" spans="1:10" s="7" customFormat="1" ht="31" x14ac:dyDescent="0.35">
      <c r="A92" s="90">
        <v>89</v>
      </c>
      <c r="B92" s="10" t="s">
        <v>697</v>
      </c>
      <c r="C92" s="156" t="s">
        <v>425</v>
      </c>
      <c r="D92" s="50"/>
      <c r="E92" s="50"/>
      <c r="F92" s="20" t="s">
        <v>26</v>
      </c>
      <c r="G92" s="161" t="s">
        <v>621</v>
      </c>
      <c r="H92" s="140" t="s">
        <v>652</v>
      </c>
      <c r="J92" s="176" t="b">
        <f>EXACT(G92,'Vh5205_C-94'!G92)</f>
        <v>1</v>
      </c>
    </row>
    <row r="93" spans="1:10" ht="31" x14ac:dyDescent="0.35">
      <c r="A93" s="90">
        <v>90</v>
      </c>
      <c r="B93" s="87" t="s">
        <v>697</v>
      </c>
      <c r="C93" s="87" t="s">
        <v>157</v>
      </c>
      <c r="D93" s="87"/>
      <c r="E93" s="87"/>
      <c r="F93" s="21" t="s">
        <v>26</v>
      </c>
      <c r="G93" s="196" t="s">
        <v>719</v>
      </c>
      <c r="H93" s="182" t="s">
        <v>652</v>
      </c>
      <c r="J93" s="176" t="b">
        <f>EXACT(G93,'Vh5205_C-94'!G93)</f>
        <v>1</v>
      </c>
    </row>
    <row r="94" spans="1:10" s="7" customFormat="1" x14ac:dyDescent="0.35">
      <c r="A94" s="90">
        <v>91</v>
      </c>
      <c r="B94" s="10" t="s">
        <v>698</v>
      </c>
      <c r="C94" s="156" t="s">
        <v>159</v>
      </c>
      <c r="D94" s="50"/>
      <c r="E94" s="50"/>
      <c r="F94" s="19" t="s">
        <v>79</v>
      </c>
      <c r="G94" s="197" t="s">
        <v>385</v>
      </c>
      <c r="H94" s="140" t="s">
        <v>652</v>
      </c>
      <c r="J94" s="176" t="b">
        <f>EXACT(G94,'Vh5205_C-94'!G94)</f>
        <v>1</v>
      </c>
    </row>
    <row r="95" spans="1:10" s="7" customFormat="1" x14ac:dyDescent="0.35">
      <c r="A95" s="90">
        <v>92</v>
      </c>
      <c r="B95" s="146" t="s">
        <v>698</v>
      </c>
      <c r="C95" s="50" t="s">
        <v>426</v>
      </c>
      <c r="D95" s="50"/>
      <c r="E95" s="50"/>
      <c r="F95" s="19" t="s">
        <v>79</v>
      </c>
      <c r="G95" s="205" t="s">
        <v>391</v>
      </c>
      <c r="H95" s="140" t="s">
        <v>652</v>
      </c>
      <c r="J95" s="176" t="b">
        <f>EXACT(G95,'Vh5205_C-94'!G95)</f>
        <v>1</v>
      </c>
    </row>
    <row r="96" spans="1:10" s="7" customFormat="1" x14ac:dyDescent="0.35">
      <c r="A96" s="90">
        <v>93</v>
      </c>
      <c r="B96" s="146" t="s">
        <v>698</v>
      </c>
      <c r="C96" s="50" t="s">
        <v>386</v>
      </c>
      <c r="D96" s="50"/>
      <c r="E96" s="50"/>
      <c r="F96" s="19" t="s">
        <v>26</v>
      </c>
      <c r="G96" s="198" t="s">
        <v>387</v>
      </c>
      <c r="H96" s="140" t="s">
        <v>652</v>
      </c>
      <c r="J96" s="176" t="b">
        <f>EXACT(G96,'Vh5205_C-94'!G96)</f>
        <v>1</v>
      </c>
    </row>
    <row r="97" spans="1:10" s="7" customFormat="1" x14ac:dyDescent="0.35">
      <c r="A97" s="90">
        <v>94</v>
      </c>
      <c r="B97" s="146" t="s">
        <v>698</v>
      </c>
      <c r="C97" s="50" t="s">
        <v>105</v>
      </c>
      <c r="D97" s="50"/>
      <c r="E97" s="50"/>
      <c r="F97" s="19" t="s">
        <v>26</v>
      </c>
      <c r="G97" s="161" t="s">
        <v>656</v>
      </c>
      <c r="H97" s="140" t="s">
        <v>652</v>
      </c>
      <c r="J97" s="176" t="b">
        <f>EXACT(G97,'Vh5205_C-94'!G97)</f>
        <v>1</v>
      </c>
    </row>
    <row r="98" spans="1:10" s="7" customFormat="1" x14ac:dyDescent="0.35">
      <c r="A98" s="90">
        <v>95</v>
      </c>
      <c r="B98" s="87" t="s">
        <v>698</v>
      </c>
      <c r="C98" s="87" t="s">
        <v>160</v>
      </c>
      <c r="D98" s="87"/>
      <c r="E98" s="87"/>
      <c r="F98" s="22" t="s">
        <v>79</v>
      </c>
      <c r="G98" s="194" t="s">
        <v>196</v>
      </c>
      <c r="H98" s="182" t="s">
        <v>652</v>
      </c>
      <c r="J98" s="176" t="b">
        <f>EXACT(G98,'Vh5205_C-94'!G98)</f>
        <v>1</v>
      </c>
    </row>
    <row r="99" spans="1:10" x14ac:dyDescent="0.35">
      <c r="A99" s="90">
        <v>96</v>
      </c>
      <c r="B99" s="10" t="s">
        <v>699</v>
      </c>
      <c r="C99" s="156" t="s">
        <v>428</v>
      </c>
      <c r="D99" s="50"/>
      <c r="E99" s="50"/>
      <c r="F99" s="20" t="s">
        <v>26</v>
      </c>
      <c r="G99" s="206" t="s">
        <v>196</v>
      </c>
      <c r="H99" s="140" t="s">
        <v>652</v>
      </c>
      <c r="J99" s="176" t="b">
        <f>EXACT(G99,'Vh5205_C-94'!G99)</f>
        <v>1</v>
      </c>
    </row>
    <row r="100" spans="1:10" x14ac:dyDescent="0.35">
      <c r="A100" s="90">
        <v>97</v>
      </c>
      <c r="B100" s="104" t="s">
        <v>699</v>
      </c>
      <c r="C100" s="158" t="s">
        <v>161</v>
      </c>
      <c r="D100" s="158"/>
      <c r="E100" s="158"/>
      <c r="F100" s="20" t="s">
        <v>79</v>
      </c>
      <c r="G100" s="192"/>
      <c r="H100" s="140"/>
      <c r="J100" s="1" t="b">
        <f>EXACT(G100,'Vh5205_C-94'!G100)</f>
        <v>1</v>
      </c>
    </row>
    <row r="101" spans="1:10" x14ac:dyDescent="0.35">
      <c r="A101" s="90">
        <v>98</v>
      </c>
      <c r="B101" s="104" t="s">
        <v>699</v>
      </c>
      <c r="C101" s="158" t="s">
        <v>272</v>
      </c>
      <c r="D101" s="158"/>
      <c r="E101" s="158"/>
      <c r="F101" s="20" t="s">
        <v>26</v>
      </c>
      <c r="G101" s="207">
        <v>44778</v>
      </c>
      <c r="H101" s="140" t="s">
        <v>652</v>
      </c>
      <c r="J101" s="176" t="b">
        <f>EXACT(G101,'Vh5205_C-94'!G101)</f>
        <v>1</v>
      </c>
    </row>
    <row r="102" spans="1:10" x14ac:dyDescent="0.35">
      <c r="A102" s="90">
        <v>99</v>
      </c>
      <c r="B102" s="104" t="s">
        <v>699</v>
      </c>
      <c r="C102" s="158" t="s">
        <v>271</v>
      </c>
      <c r="D102" s="158"/>
      <c r="E102" s="158"/>
      <c r="F102" s="20" t="s">
        <v>26</v>
      </c>
      <c r="G102" s="161" t="s">
        <v>503</v>
      </c>
      <c r="H102" s="140" t="s">
        <v>652</v>
      </c>
      <c r="J102" s="176" t="b">
        <f>EXACT(G102,'Vh5205_C-94'!G102)</f>
        <v>1</v>
      </c>
    </row>
    <row r="103" spans="1:10" x14ac:dyDescent="0.35">
      <c r="A103" s="90">
        <v>100</v>
      </c>
      <c r="B103" s="10" t="s">
        <v>699</v>
      </c>
      <c r="C103" s="156" t="s">
        <v>120</v>
      </c>
      <c r="D103" s="50"/>
      <c r="E103" s="50"/>
      <c r="F103" s="20" t="s">
        <v>26</v>
      </c>
      <c r="G103" s="192" t="s">
        <v>270</v>
      </c>
      <c r="H103" s="140" t="s">
        <v>652</v>
      </c>
      <c r="J103" s="176" t="b">
        <f>EXACT(G103,'Vh5205_C-94'!G103)</f>
        <v>1</v>
      </c>
    </row>
    <row r="104" spans="1:10" x14ac:dyDescent="0.35">
      <c r="A104" s="90">
        <v>101</v>
      </c>
      <c r="B104" s="10" t="s">
        <v>699</v>
      </c>
      <c r="C104" s="156" t="s">
        <v>119</v>
      </c>
      <c r="D104" s="50"/>
      <c r="E104" s="50"/>
      <c r="F104" s="20" t="s">
        <v>26</v>
      </c>
      <c r="G104" s="161">
        <v>1</v>
      </c>
      <c r="H104" s="140" t="s">
        <v>652</v>
      </c>
      <c r="J104" s="176" t="b">
        <f>EXACT(G104,'Vh5205_C-94'!G104)</f>
        <v>1</v>
      </c>
    </row>
    <row r="105" spans="1:10" x14ac:dyDescent="0.35">
      <c r="A105" s="90">
        <v>102</v>
      </c>
      <c r="B105" s="10" t="s">
        <v>699</v>
      </c>
      <c r="C105" s="156" t="s">
        <v>121</v>
      </c>
      <c r="D105" s="50"/>
      <c r="E105" s="50" t="s">
        <v>0</v>
      </c>
      <c r="F105" s="20" t="s">
        <v>26</v>
      </c>
      <c r="G105" s="161" t="s">
        <v>487</v>
      </c>
      <c r="H105" s="140" t="s">
        <v>652</v>
      </c>
      <c r="J105" s="176" t="b">
        <f>EXACT(G105,'Vh5205_C-94'!G105)</f>
        <v>1</v>
      </c>
    </row>
    <row r="106" spans="1:10" x14ac:dyDescent="0.35">
      <c r="A106" s="90">
        <v>103</v>
      </c>
      <c r="B106" s="13" t="s">
        <v>699</v>
      </c>
      <c r="C106" s="13" t="s">
        <v>430</v>
      </c>
      <c r="D106" s="87"/>
      <c r="E106" s="87"/>
      <c r="F106" s="22" t="s">
        <v>26</v>
      </c>
      <c r="G106" s="194" t="s">
        <v>196</v>
      </c>
      <c r="H106" s="182" t="s">
        <v>652</v>
      </c>
      <c r="J106" s="176" t="b">
        <f>EXACT(G106,'Vh5205_C-94'!G106)</f>
        <v>1</v>
      </c>
    </row>
    <row r="107" spans="1:10" x14ac:dyDescent="0.35">
      <c r="A107" s="90">
        <v>104</v>
      </c>
      <c r="B107" s="10" t="s">
        <v>700</v>
      </c>
      <c r="C107" s="156" t="s">
        <v>458</v>
      </c>
      <c r="D107" s="50"/>
      <c r="E107" s="50"/>
      <c r="F107" s="20" t="s">
        <v>26</v>
      </c>
      <c r="G107" s="197" t="s">
        <v>196</v>
      </c>
      <c r="H107" s="140" t="s">
        <v>652</v>
      </c>
      <c r="J107" s="176" t="b">
        <f>EXACT(G107,'Vh5205_C-94'!G107)</f>
        <v>1</v>
      </c>
    </row>
    <row r="108" spans="1:10" ht="31" x14ac:dyDescent="0.35">
      <c r="A108" s="90">
        <v>105</v>
      </c>
      <c r="B108" s="104" t="s">
        <v>700</v>
      </c>
      <c r="C108" s="158" t="s">
        <v>459</v>
      </c>
      <c r="D108" s="158"/>
      <c r="E108" s="158"/>
      <c r="F108" s="20" t="s">
        <v>26</v>
      </c>
      <c r="G108" s="161" t="s">
        <v>609</v>
      </c>
      <c r="H108" s="140" t="s">
        <v>652</v>
      </c>
      <c r="J108" s="176" t="b">
        <f>EXACT(G108,'Vh5205_C-94'!G108)</f>
        <v>1</v>
      </c>
    </row>
    <row r="109" spans="1:10" x14ac:dyDescent="0.35">
      <c r="A109" s="90">
        <v>106</v>
      </c>
      <c r="B109" s="104" t="s">
        <v>700</v>
      </c>
      <c r="C109" s="158" t="s">
        <v>161</v>
      </c>
      <c r="D109" s="158"/>
      <c r="E109" s="158"/>
      <c r="F109" s="20" t="s">
        <v>79</v>
      </c>
      <c r="G109" s="161" t="s">
        <v>539</v>
      </c>
      <c r="H109" s="140" t="s">
        <v>652</v>
      </c>
      <c r="J109" s="176" t="b">
        <f>EXACT(G109,'Vh5205_C-94'!G109)</f>
        <v>1</v>
      </c>
    </row>
    <row r="110" spans="1:10" x14ac:dyDescent="0.35">
      <c r="A110" s="90">
        <v>107</v>
      </c>
      <c r="B110" s="104" t="s">
        <v>700</v>
      </c>
      <c r="C110" s="158" t="s">
        <v>272</v>
      </c>
      <c r="D110" s="158"/>
      <c r="E110" s="158"/>
      <c r="F110" s="20" t="s">
        <v>26</v>
      </c>
      <c r="G110" s="207">
        <v>45098</v>
      </c>
      <c r="H110" s="140" t="s">
        <v>652</v>
      </c>
      <c r="J110" s="176" t="b">
        <f>EXACT(G110,'Vh5205_C-94'!G110)</f>
        <v>1</v>
      </c>
    </row>
    <row r="111" spans="1:10" x14ac:dyDescent="0.35">
      <c r="A111" s="90">
        <v>108</v>
      </c>
      <c r="B111" s="104" t="s">
        <v>700</v>
      </c>
      <c r="C111" s="158" t="s">
        <v>271</v>
      </c>
      <c r="D111" s="158"/>
      <c r="E111" s="158"/>
      <c r="F111" s="20" t="s">
        <v>26</v>
      </c>
      <c r="G111" s="192" t="s">
        <v>504</v>
      </c>
      <c r="H111" s="140" t="s">
        <v>652</v>
      </c>
      <c r="J111" s="176" t="b">
        <f>EXACT(G111,'Vh5205_C-94'!G111)</f>
        <v>1</v>
      </c>
    </row>
    <row r="112" spans="1:10" x14ac:dyDescent="0.35">
      <c r="A112" s="90">
        <v>109</v>
      </c>
      <c r="B112" s="10" t="s">
        <v>700</v>
      </c>
      <c r="C112" s="156" t="s">
        <v>120</v>
      </c>
      <c r="D112" s="50"/>
      <c r="E112" s="50"/>
      <c r="F112" s="20" t="s">
        <v>26</v>
      </c>
      <c r="G112" s="192" t="s">
        <v>524</v>
      </c>
      <c r="H112" s="140" t="s">
        <v>652</v>
      </c>
      <c r="J112" s="176" t="b">
        <f>EXACT(G112,'Vh5205_C-94'!G112)</f>
        <v>1</v>
      </c>
    </row>
    <row r="113" spans="1:10" x14ac:dyDescent="0.35">
      <c r="A113" s="90">
        <v>110</v>
      </c>
      <c r="B113" s="10" t="s">
        <v>700</v>
      </c>
      <c r="C113" s="156" t="s">
        <v>119</v>
      </c>
      <c r="D113" s="50"/>
      <c r="E113" s="50"/>
      <c r="F113" s="20" t="s">
        <v>26</v>
      </c>
      <c r="G113" s="192" t="s">
        <v>524</v>
      </c>
      <c r="H113" s="140" t="s">
        <v>652</v>
      </c>
      <c r="J113" s="176" t="b">
        <f>EXACT(G113,'Vh5205_C-94'!G113)</f>
        <v>1</v>
      </c>
    </row>
    <row r="114" spans="1:10" x14ac:dyDescent="0.35">
      <c r="A114" s="90">
        <v>111</v>
      </c>
      <c r="B114" s="13" t="s">
        <v>700</v>
      </c>
      <c r="C114" s="13" t="s">
        <v>121</v>
      </c>
      <c r="D114" s="87"/>
      <c r="E114" s="87" t="s">
        <v>0</v>
      </c>
      <c r="F114" s="21" t="s">
        <v>26</v>
      </c>
      <c r="G114" s="194" t="s">
        <v>505</v>
      </c>
      <c r="H114" s="182" t="s">
        <v>652</v>
      </c>
      <c r="J114" s="176" t="b">
        <f>EXACT(G114,'Vh5205_C-94'!G114)</f>
        <v>1</v>
      </c>
    </row>
    <row r="115" spans="1:10" x14ac:dyDescent="0.35">
      <c r="A115" s="90">
        <v>112</v>
      </c>
      <c r="B115" s="102" t="s">
        <v>701</v>
      </c>
      <c r="C115" s="102" t="s">
        <v>308</v>
      </c>
      <c r="D115" s="50"/>
      <c r="E115" s="50"/>
      <c r="F115" s="39" t="s">
        <v>26</v>
      </c>
      <c r="G115" s="197" t="s">
        <v>347</v>
      </c>
      <c r="H115" s="140" t="s">
        <v>652</v>
      </c>
      <c r="J115" s="176" t="b">
        <f>EXACT(G115,'Vh5205_C-94'!G115)</f>
        <v>1</v>
      </c>
    </row>
    <row r="116" spans="1:10" s="7" customFormat="1" x14ac:dyDescent="0.35">
      <c r="A116" s="90">
        <v>113</v>
      </c>
      <c r="B116" s="13" t="s">
        <v>701</v>
      </c>
      <c r="C116" s="13" t="s">
        <v>163</v>
      </c>
      <c r="D116" s="87"/>
      <c r="E116" s="87"/>
      <c r="F116" s="22" t="s">
        <v>26</v>
      </c>
      <c r="G116" s="194" t="s">
        <v>196</v>
      </c>
      <c r="H116" s="182" t="s">
        <v>652</v>
      </c>
      <c r="J116" s="176" t="b">
        <f>EXACT(G116,'Vh5205_C-94'!G116)</f>
        <v>1</v>
      </c>
    </row>
    <row r="117" spans="1:10" s="7" customFormat="1" x14ac:dyDescent="0.35">
      <c r="A117" s="90">
        <v>114</v>
      </c>
      <c r="B117" s="102" t="s">
        <v>702</v>
      </c>
      <c r="C117" s="102" t="s">
        <v>164</v>
      </c>
      <c r="D117" s="100"/>
      <c r="E117" s="100"/>
      <c r="F117" s="18" t="s">
        <v>26</v>
      </c>
      <c r="G117" s="206" t="s">
        <v>196</v>
      </c>
      <c r="H117" s="140" t="s">
        <v>652</v>
      </c>
      <c r="J117" s="176" t="b">
        <f>EXACT(G117,'Vh5205_C-94'!G117)</f>
        <v>1</v>
      </c>
    </row>
    <row r="118" spans="1:10" s="7" customFormat="1" x14ac:dyDescent="0.35">
      <c r="A118" s="90">
        <v>115</v>
      </c>
      <c r="B118" s="13" t="s">
        <v>702</v>
      </c>
      <c r="C118" s="13" t="s">
        <v>191</v>
      </c>
      <c r="D118" s="87"/>
      <c r="E118" s="87"/>
      <c r="F118" s="22" t="s">
        <v>79</v>
      </c>
      <c r="G118" s="194" t="s">
        <v>196</v>
      </c>
      <c r="H118" s="182" t="s">
        <v>652</v>
      </c>
      <c r="J118" s="176" t="b">
        <f>EXACT(G118,'Vh5205_C-94'!G118)</f>
        <v>1</v>
      </c>
    </row>
    <row r="119" spans="1:10" s="7" customFormat="1" x14ac:dyDescent="0.35">
      <c r="A119" s="90">
        <v>116</v>
      </c>
      <c r="B119" s="146" t="s">
        <v>703</v>
      </c>
      <c r="C119" s="50" t="s">
        <v>106</v>
      </c>
      <c r="D119" s="50"/>
      <c r="E119" s="50"/>
      <c r="F119" s="19" t="s">
        <v>26</v>
      </c>
      <c r="G119" s="197" t="s">
        <v>488</v>
      </c>
      <c r="H119" s="140" t="s">
        <v>652</v>
      </c>
      <c r="J119" s="176" t="b">
        <f>EXACT(G119,'Vh5205_C-94'!G119)</f>
        <v>1</v>
      </c>
    </row>
    <row r="120" spans="1:10" x14ac:dyDescent="0.35">
      <c r="A120" s="90">
        <v>117</v>
      </c>
      <c r="B120" s="146" t="s">
        <v>703</v>
      </c>
      <c r="C120" s="50" t="s">
        <v>434</v>
      </c>
      <c r="D120" s="149"/>
      <c r="E120" s="149"/>
      <c r="F120" s="19" t="s">
        <v>26</v>
      </c>
      <c r="G120" s="161" t="s">
        <v>506</v>
      </c>
      <c r="H120" s="140" t="s">
        <v>652</v>
      </c>
      <c r="J120" s="176" t="b">
        <f>EXACT(G120,'Vh5205_C-94'!G120)</f>
        <v>1</v>
      </c>
    </row>
    <row r="121" spans="1:10" ht="31" x14ac:dyDescent="0.35">
      <c r="A121" s="90">
        <v>118</v>
      </c>
      <c r="B121" s="87" t="s">
        <v>703</v>
      </c>
      <c r="C121" s="87" t="s">
        <v>350</v>
      </c>
      <c r="D121" s="93"/>
      <c r="E121" s="93"/>
      <c r="F121" s="22" t="s">
        <v>26</v>
      </c>
      <c r="G121" s="194" t="s">
        <v>196</v>
      </c>
      <c r="H121" s="182" t="s">
        <v>652</v>
      </c>
      <c r="J121" s="176" t="b">
        <f>EXACT(G121,'Vh5205_C-94'!G121)</f>
        <v>1</v>
      </c>
    </row>
    <row r="122" spans="1:10" x14ac:dyDescent="0.35">
      <c r="A122" s="90">
        <v>119</v>
      </c>
      <c r="B122" s="5" t="s">
        <v>704</v>
      </c>
      <c r="C122" s="149" t="s">
        <v>135</v>
      </c>
      <c r="D122" s="149"/>
      <c r="E122" s="149"/>
      <c r="F122" s="19" t="s">
        <v>26</v>
      </c>
      <c r="G122" s="206" t="s">
        <v>269</v>
      </c>
      <c r="H122" s="140" t="s">
        <v>652</v>
      </c>
      <c r="J122" s="176" t="b">
        <f>EXACT(G122,'Vh5205_C-94'!G122)</f>
        <v>1</v>
      </c>
    </row>
    <row r="123" spans="1:10" s="7" customFormat="1" ht="46.5" x14ac:dyDescent="0.35">
      <c r="A123" s="90">
        <v>120</v>
      </c>
      <c r="B123" s="146" t="s">
        <v>704</v>
      </c>
      <c r="C123" s="50" t="s">
        <v>316</v>
      </c>
      <c r="D123" s="50"/>
      <c r="E123" s="50"/>
      <c r="F123" s="19" t="s">
        <v>79</v>
      </c>
      <c r="G123" s="161" t="s">
        <v>529</v>
      </c>
      <c r="H123" s="177"/>
      <c r="J123" s="1" t="b">
        <f>EXACT(G123,'Vh5205_C-94'!G123)</f>
        <v>1</v>
      </c>
    </row>
    <row r="124" spans="1:10" x14ac:dyDescent="0.35">
      <c r="A124" s="90">
        <v>121</v>
      </c>
      <c r="B124" s="5" t="s">
        <v>704</v>
      </c>
      <c r="C124" s="149" t="s">
        <v>354</v>
      </c>
      <c r="D124" s="149"/>
      <c r="E124" s="149"/>
      <c r="F124" s="19" t="s">
        <v>26</v>
      </c>
      <c r="G124" s="161" t="s">
        <v>205</v>
      </c>
      <c r="H124" s="164" t="s">
        <v>652</v>
      </c>
      <c r="J124" s="176" t="b">
        <f>EXACT(G124,'Vh5205_C-94'!G124)</f>
        <v>1</v>
      </c>
    </row>
    <row r="125" spans="1:10" x14ac:dyDescent="0.35">
      <c r="A125" s="90">
        <v>122</v>
      </c>
      <c r="B125" s="5" t="s">
        <v>704</v>
      </c>
      <c r="C125" s="149" t="s">
        <v>139</v>
      </c>
      <c r="D125" s="149"/>
      <c r="E125" s="149" t="s">
        <v>2</v>
      </c>
      <c r="F125" s="19" t="s">
        <v>79</v>
      </c>
      <c r="G125" s="192" t="s">
        <v>489</v>
      </c>
      <c r="H125" s="164" t="s">
        <v>652</v>
      </c>
      <c r="J125" s="176" t="b">
        <f>EXACT(G125,'Vh5205_C-94'!G125)</f>
        <v>1</v>
      </c>
    </row>
    <row r="126" spans="1:10" x14ac:dyDescent="0.35">
      <c r="A126" s="90">
        <v>123</v>
      </c>
      <c r="B126" s="5" t="s">
        <v>704</v>
      </c>
      <c r="C126" s="149" t="s">
        <v>140</v>
      </c>
      <c r="D126" s="149"/>
      <c r="E126" s="149"/>
      <c r="F126" s="19" t="s">
        <v>79</v>
      </c>
      <c r="G126" s="192" t="s">
        <v>538</v>
      </c>
      <c r="H126" s="164" t="s">
        <v>652</v>
      </c>
      <c r="J126" s="176" t="b">
        <f>EXACT(G126,'Vh5205_C-94'!G126)</f>
        <v>1</v>
      </c>
    </row>
    <row r="127" spans="1:10" s="7" customFormat="1" x14ac:dyDescent="0.35">
      <c r="A127" s="90">
        <v>124</v>
      </c>
      <c r="B127" s="10" t="s">
        <v>704</v>
      </c>
      <c r="C127" s="156" t="s">
        <v>122</v>
      </c>
      <c r="D127" s="50"/>
      <c r="E127" s="50"/>
      <c r="F127" s="20" t="s">
        <v>26</v>
      </c>
      <c r="G127" s="161" t="s">
        <v>196</v>
      </c>
      <c r="H127" s="164" t="s">
        <v>652</v>
      </c>
      <c r="J127" s="176" t="b">
        <f>EXACT(G127,'Vh5205_C-94'!G127)</f>
        <v>1</v>
      </c>
    </row>
    <row r="128" spans="1:10" x14ac:dyDescent="0.35">
      <c r="A128" s="90">
        <v>125</v>
      </c>
      <c r="B128" s="5" t="s">
        <v>704</v>
      </c>
      <c r="C128" s="149" t="s">
        <v>137</v>
      </c>
      <c r="D128" s="149"/>
      <c r="E128" s="149"/>
      <c r="F128" s="19" t="s">
        <v>26</v>
      </c>
      <c r="G128" s="192" t="s">
        <v>359</v>
      </c>
      <c r="H128" s="164" t="s">
        <v>652</v>
      </c>
      <c r="J128" s="176" t="b">
        <f>EXACT(G128,'Vh5205_C-94'!G128)</f>
        <v>1</v>
      </c>
    </row>
    <row r="129" spans="1:10" s="7" customFormat="1" x14ac:dyDescent="0.35">
      <c r="A129" s="90">
        <v>126</v>
      </c>
      <c r="B129" s="146" t="s">
        <v>704</v>
      </c>
      <c r="C129" s="50" t="s">
        <v>120</v>
      </c>
      <c r="D129" s="50"/>
      <c r="E129" s="50"/>
      <c r="F129" s="20" t="s">
        <v>26</v>
      </c>
      <c r="G129" s="161" t="s">
        <v>490</v>
      </c>
      <c r="H129" s="164" t="s">
        <v>652</v>
      </c>
      <c r="J129" s="176" t="b">
        <f>EXACT(G129,'Vh5205_C-94'!G129)</f>
        <v>1</v>
      </c>
    </row>
    <row r="130" spans="1:10" s="7" customFormat="1" x14ac:dyDescent="0.35">
      <c r="A130" s="90">
        <v>127</v>
      </c>
      <c r="B130" s="104" t="s">
        <v>704</v>
      </c>
      <c r="C130" s="158" t="s">
        <v>161</v>
      </c>
      <c r="D130" s="50"/>
      <c r="E130" s="50"/>
      <c r="F130" s="20" t="s">
        <v>79</v>
      </c>
      <c r="G130" s="161" t="s">
        <v>539</v>
      </c>
      <c r="H130" s="164" t="s">
        <v>652</v>
      </c>
      <c r="J130" s="176" t="b">
        <f>EXACT(G130,'Vh5205_C-94'!G130)</f>
        <v>1</v>
      </c>
    </row>
    <row r="131" spans="1:10" s="7" customFormat="1" ht="31" x14ac:dyDescent="0.35">
      <c r="A131" s="90">
        <v>128</v>
      </c>
      <c r="B131" s="104" t="s">
        <v>704</v>
      </c>
      <c r="C131" s="158" t="s">
        <v>358</v>
      </c>
      <c r="D131" s="50"/>
      <c r="E131" s="50"/>
      <c r="F131" s="20" t="s">
        <v>26</v>
      </c>
      <c r="G131" s="195" t="s">
        <v>530</v>
      </c>
      <c r="H131" s="177"/>
      <c r="J131" s="1" t="b">
        <f>EXACT(G131,'Vh5205_C-94'!G131)</f>
        <v>1</v>
      </c>
    </row>
    <row r="132" spans="1:10" s="7" customFormat="1" x14ac:dyDescent="0.35">
      <c r="A132" s="90">
        <v>129</v>
      </c>
      <c r="B132" s="104" t="s">
        <v>704</v>
      </c>
      <c r="C132" s="158" t="s">
        <v>271</v>
      </c>
      <c r="D132" s="50"/>
      <c r="E132" s="50"/>
      <c r="F132" s="20" t="s">
        <v>26</v>
      </c>
      <c r="G132" s="161" t="s">
        <v>504</v>
      </c>
      <c r="H132" s="177" t="s">
        <v>652</v>
      </c>
      <c r="J132" s="176" t="b">
        <f>EXACT(G132,'Vh5205_C-94'!G132)</f>
        <v>1</v>
      </c>
    </row>
    <row r="133" spans="1:10" ht="46.5" x14ac:dyDescent="0.35">
      <c r="A133" s="90">
        <v>130</v>
      </c>
      <c r="B133" s="91" t="s">
        <v>704</v>
      </c>
      <c r="C133" s="159" t="s">
        <v>315</v>
      </c>
      <c r="D133" s="149"/>
      <c r="E133" s="149" t="s">
        <v>85</v>
      </c>
      <c r="F133" s="19" t="s">
        <v>79</v>
      </c>
      <c r="G133" s="198" t="s">
        <v>525</v>
      </c>
      <c r="H133" s="177" t="s">
        <v>652</v>
      </c>
      <c r="J133" s="176" t="b">
        <f>EXACT(G133,'Vh5205_C-94'!G133)</f>
        <v>1</v>
      </c>
    </row>
    <row r="134" spans="1:10" s="7" customFormat="1" x14ac:dyDescent="0.35">
      <c r="A134" s="90">
        <v>131</v>
      </c>
      <c r="B134" s="146" t="s">
        <v>704</v>
      </c>
      <c r="C134" s="50" t="s">
        <v>121</v>
      </c>
      <c r="D134" s="50"/>
      <c r="E134" s="50" t="s">
        <v>85</v>
      </c>
      <c r="F134" s="20" t="s">
        <v>26</v>
      </c>
      <c r="G134" s="161" t="s">
        <v>491</v>
      </c>
      <c r="H134" s="177" t="s">
        <v>652</v>
      </c>
      <c r="J134" s="176" t="b">
        <f>EXACT(G134,'Vh5205_C-94'!G134)</f>
        <v>1</v>
      </c>
    </row>
    <row r="135" spans="1:10" x14ac:dyDescent="0.35">
      <c r="A135" s="90">
        <v>132</v>
      </c>
      <c r="B135" s="5" t="s">
        <v>704</v>
      </c>
      <c r="C135" s="149" t="s">
        <v>165</v>
      </c>
      <c r="D135" s="149"/>
      <c r="E135" s="149"/>
      <c r="F135" s="19" t="s">
        <v>26</v>
      </c>
      <c r="G135" s="192" t="s">
        <v>540</v>
      </c>
      <c r="H135" s="177" t="s">
        <v>652</v>
      </c>
      <c r="J135" s="176" t="b">
        <f>EXACT(G135,'Vh5205_C-94'!G135)</f>
        <v>1</v>
      </c>
    </row>
    <row r="136" spans="1:10" x14ac:dyDescent="0.35">
      <c r="A136" s="90">
        <v>133</v>
      </c>
      <c r="B136" s="5" t="s">
        <v>704</v>
      </c>
      <c r="C136" s="149" t="s">
        <v>166</v>
      </c>
      <c r="D136" s="149"/>
      <c r="E136" s="149"/>
      <c r="F136" s="19" t="s">
        <v>26</v>
      </c>
      <c r="G136" s="161">
        <v>3</v>
      </c>
      <c r="H136" s="177" t="s">
        <v>652</v>
      </c>
      <c r="J136" s="176" t="b">
        <f>EXACT(G136,'Vh5205_C-94'!G136)</f>
        <v>1</v>
      </c>
    </row>
    <row r="137" spans="1:10" x14ac:dyDescent="0.35">
      <c r="A137" s="90">
        <v>134</v>
      </c>
      <c r="B137" s="5" t="s">
        <v>704</v>
      </c>
      <c r="C137" s="149" t="s">
        <v>141</v>
      </c>
      <c r="D137" s="149"/>
      <c r="E137" s="149"/>
      <c r="F137" s="19" t="s">
        <v>26</v>
      </c>
      <c r="G137" s="161" t="s">
        <v>522</v>
      </c>
      <c r="H137" s="177" t="s">
        <v>652</v>
      </c>
      <c r="J137" s="176" t="b">
        <f>EXACT(G137,'Vh5205_C-94'!G137)</f>
        <v>1</v>
      </c>
    </row>
    <row r="138" spans="1:10" s="7" customFormat="1" x14ac:dyDescent="0.35">
      <c r="A138" s="90"/>
      <c r="B138" s="114" t="s">
        <v>704</v>
      </c>
      <c r="C138" s="114"/>
      <c r="D138" s="87"/>
      <c r="E138" s="87"/>
      <c r="F138" s="21"/>
      <c r="G138" s="196"/>
      <c r="H138" s="180"/>
      <c r="J138" s="1" t="b">
        <f>EXACT(G138,'Vh5205_C-94'!G138)</f>
        <v>1</v>
      </c>
    </row>
    <row r="139" spans="1:10" s="7" customFormat="1" x14ac:dyDescent="0.35">
      <c r="A139" s="90">
        <v>135</v>
      </c>
      <c r="B139" s="10" t="s">
        <v>705</v>
      </c>
      <c r="C139" s="156" t="s">
        <v>142</v>
      </c>
      <c r="D139" s="50"/>
      <c r="E139" s="50"/>
      <c r="F139" s="20" t="s">
        <v>26</v>
      </c>
      <c r="G139" s="192" t="s">
        <v>196</v>
      </c>
      <c r="H139" s="177" t="s">
        <v>652</v>
      </c>
      <c r="J139" s="176" t="b">
        <f>EXACT(G139,'Vh5205_C-94'!G139)</f>
        <v>1</v>
      </c>
    </row>
    <row r="140" spans="1:10" x14ac:dyDescent="0.35">
      <c r="A140" s="90">
        <v>136</v>
      </c>
      <c r="B140" s="5" t="s">
        <v>705</v>
      </c>
      <c r="C140" s="149" t="s">
        <v>138</v>
      </c>
      <c r="D140" s="149"/>
      <c r="E140" s="149"/>
      <c r="F140" s="19" t="s">
        <v>79</v>
      </c>
      <c r="G140" s="161" t="s">
        <v>526</v>
      </c>
      <c r="H140" s="177" t="s">
        <v>652</v>
      </c>
      <c r="J140" s="176" t="b">
        <f>EXACT(G140,'Vh5205_C-94'!G140)</f>
        <v>1</v>
      </c>
    </row>
    <row r="141" spans="1:10" x14ac:dyDescent="0.35">
      <c r="A141" s="90">
        <v>137</v>
      </c>
      <c r="B141" s="104" t="s">
        <v>705</v>
      </c>
      <c r="C141" s="158" t="s">
        <v>161</v>
      </c>
      <c r="D141" s="158"/>
      <c r="E141" s="158"/>
      <c r="F141" s="19" t="s">
        <v>79</v>
      </c>
      <c r="G141" s="161" t="s">
        <v>539</v>
      </c>
      <c r="H141" s="177" t="s">
        <v>652</v>
      </c>
      <c r="J141" s="176" t="b">
        <f>EXACT(G141,'Vh5205_C-94'!G141)</f>
        <v>1</v>
      </c>
    </row>
    <row r="142" spans="1:10" x14ac:dyDescent="0.35">
      <c r="A142" s="90">
        <v>138</v>
      </c>
      <c r="B142" s="104" t="s">
        <v>705</v>
      </c>
      <c r="C142" s="158" t="s">
        <v>358</v>
      </c>
      <c r="D142" s="158"/>
      <c r="E142" s="158"/>
      <c r="F142" s="20" t="s">
        <v>26</v>
      </c>
      <c r="G142" s="195">
        <v>45155</v>
      </c>
      <c r="H142" s="140"/>
      <c r="J142" s="1" t="b">
        <f>EXACT(G142,'Vh5205_C-94'!G142)</f>
        <v>1</v>
      </c>
    </row>
    <row r="143" spans="1:10" x14ac:dyDescent="0.35">
      <c r="A143" s="90">
        <v>139</v>
      </c>
      <c r="B143" s="104" t="s">
        <v>705</v>
      </c>
      <c r="C143" s="158" t="s">
        <v>271</v>
      </c>
      <c r="D143" s="158"/>
      <c r="E143" s="158"/>
      <c r="F143" s="20" t="s">
        <v>26</v>
      </c>
      <c r="G143" s="161" t="s">
        <v>492</v>
      </c>
      <c r="H143" s="177" t="s">
        <v>652</v>
      </c>
      <c r="J143" s="176" t="b">
        <f>EXACT(G143,'Vh5205_C-94'!G143)</f>
        <v>1</v>
      </c>
    </row>
    <row r="144" spans="1:10" x14ac:dyDescent="0.35">
      <c r="A144" s="90">
        <v>140</v>
      </c>
      <c r="B144" s="5" t="s">
        <v>705</v>
      </c>
      <c r="C144" s="149" t="s">
        <v>137</v>
      </c>
      <c r="D144" s="149"/>
      <c r="E144" s="149"/>
      <c r="F144" s="19" t="s">
        <v>26</v>
      </c>
      <c r="G144" s="161" t="s">
        <v>493</v>
      </c>
      <c r="H144" s="177" t="s">
        <v>652</v>
      </c>
      <c r="J144" s="176" t="b">
        <f>EXACT(G144,'Vh5205_C-94'!G144)</f>
        <v>1</v>
      </c>
    </row>
    <row r="145" spans="1:10" x14ac:dyDescent="0.35">
      <c r="A145" s="90">
        <v>141</v>
      </c>
      <c r="B145" s="146" t="s">
        <v>705</v>
      </c>
      <c r="C145" s="50" t="s">
        <v>120</v>
      </c>
      <c r="D145" s="50"/>
      <c r="E145" s="50"/>
      <c r="F145" s="19" t="s">
        <v>26</v>
      </c>
      <c r="G145" s="161" t="s">
        <v>273</v>
      </c>
      <c r="H145" s="177" t="s">
        <v>652</v>
      </c>
      <c r="J145" s="176" t="b">
        <f>EXACT(G145,'Vh5205_C-94'!G145)</f>
        <v>1</v>
      </c>
    </row>
    <row r="146" spans="1:10" x14ac:dyDescent="0.35">
      <c r="A146" s="90">
        <v>142</v>
      </c>
      <c r="B146" s="91" t="s">
        <v>705</v>
      </c>
      <c r="C146" s="159" t="s">
        <v>315</v>
      </c>
      <c r="D146" s="149"/>
      <c r="E146" s="149" t="s">
        <v>85</v>
      </c>
      <c r="F146" s="19" t="s">
        <v>79</v>
      </c>
      <c r="G146" s="198" t="s">
        <v>531</v>
      </c>
      <c r="H146" s="140"/>
      <c r="J146" s="1" t="b">
        <f>EXACT(G146,'Vh5205_C-94'!G146)</f>
        <v>1</v>
      </c>
    </row>
    <row r="147" spans="1:10" x14ac:dyDescent="0.35">
      <c r="A147" s="90">
        <v>143</v>
      </c>
      <c r="B147" s="87" t="s">
        <v>705</v>
      </c>
      <c r="C147" s="87" t="s">
        <v>121</v>
      </c>
      <c r="D147" s="93"/>
      <c r="E147" s="87" t="s">
        <v>85</v>
      </c>
      <c r="F147" s="22" t="s">
        <v>26</v>
      </c>
      <c r="G147" s="196" t="s">
        <v>274</v>
      </c>
      <c r="H147" s="180" t="s">
        <v>652</v>
      </c>
      <c r="J147" s="176" t="b">
        <f>EXACT(G147,'Vh5205_C-94'!G147)</f>
        <v>1</v>
      </c>
    </row>
    <row r="148" spans="1:10" x14ac:dyDescent="0.35">
      <c r="A148" s="90">
        <v>144</v>
      </c>
      <c r="B148" s="111" t="s">
        <v>706</v>
      </c>
      <c r="C148" s="111" t="s">
        <v>287</v>
      </c>
      <c r="D148" s="111"/>
      <c r="E148" s="111"/>
      <c r="F148" s="18" t="s">
        <v>26</v>
      </c>
      <c r="G148" s="197" t="s">
        <v>281</v>
      </c>
      <c r="H148" s="177" t="s">
        <v>652</v>
      </c>
      <c r="J148" s="176" t="b">
        <f>EXACT(G148,'Vh5205_C-94'!G148)</f>
        <v>1</v>
      </c>
    </row>
    <row r="149" spans="1:10" x14ac:dyDescent="0.35">
      <c r="A149" s="90">
        <v>145</v>
      </c>
      <c r="B149" s="5" t="s">
        <v>706</v>
      </c>
      <c r="C149" s="149" t="s">
        <v>366</v>
      </c>
      <c r="D149" s="149"/>
      <c r="E149" s="149"/>
      <c r="F149" s="19" t="s">
        <v>26</v>
      </c>
      <c r="G149" s="161" t="s">
        <v>288</v>
      </c>
      <c r="H149" s="177" t="s">
        <v>652</v>
      </c>
      <c r="J149" s="176" t="b">
        <f>EXACT(G149,'Vh5205_C-94'!G149)</f>
        <v>1</v>
      </c>
    </row>
    <row r="150" spans="1:10" x14ac:dyDescent="0.35">
      <c r="A150" s="90">
        <v>146</v>
      </c>
      <c r="B150" s="93" t="s">
        <v>706</v>
      </c>
      <c r="C150" s="93" t="s">
        <v>367</v>
      </c>
      <c r="D150" s="93"/>
      <c r="E150" s="93"/>
      <c r="F150" s="22" t="s">
        <v>26</v>
      </c>
      <c r="G150" s="194" t="s">
        <v>524</v>
      </c>
      <c r="H150" s="180" t="s">
        <v>652</v>
      </c>
      <c r="J150" s="176" t="b">
        <f>EXACT(G150,'Vh5205_C-94'!G150)</f>
        <v>1</v>
      </c>
    </row>
    <row r="151" spans="1:10" s="7" customFormat="1" x14ac:dyDescent="0.35">
      <c r="A151" s="90">
        <v>147</v>
      </c>
      <c r="B151" s="100" t="s">
        <v>707</v>
      </c>
      <c r="C151" s="100" t="s">
        <v>169</v>
      </c>
      <c r="D151" s="50"/>
      <c r="E151" s="50"/>
      <c r="F151" s="19" t="s">
        <v>26</v>
      </c>
      <c r="G151" s="206" t="s">
        <v>541</v>
      </c>
      <c r="H151" s="177" t="s">
        <v>652</v>
      </c>
      <c r="J151" s="176" t="b">
        <f>EXACT(G151,'Vh5205_C-94'!G151)</f>
        <v>1</v>
      </c>
    </row>
    <row r="152" spans="1:10" s="7" customFormat="1" x14ac:dyDescent="0.35">
      <c r="A152" s="90">
        <v>148</v>
      </c>
      <c r="B152" s="146" t="s">
        <v>707</v>
      </c>
      <c r="C152" s="50" t="s">
        <v>192</v>
      </c>
      <c r="D152" s="50"/>
      <c r="E152" s="50"/>
      <c r="F152" s="19" t="s">
        <v>26</v>
      </c>
      <c r="G152" s="192" t="s">
        <v>542</v>
      </c>
      <c r="H152" s="177" t="s">
        <v>652</v>
      </c>
      <c r="J152" s="176" t="b">
        <f>EXACT(G152,'Vh5205_C-94'!G152)</f>
        <v>1</v>
      </c>
    </row>
    <row r="153" spans="1:10" s="7" customFormat="1" x14ac:dyDescent="0.35">
      <c r="A153" s="90">
        <v>149</v>
      </c>
      <c r="B153" s="146" t="s">
        <v>707</v>
      </c>
      <c r="C153" s="50" t="s">
        <v>170</v>
      </c>
      <c r="D153" s="50"/>
      <c r="E153" s="50"/>
      <c r="F153" s="19" t="s">
        <v>26</v>
      </c>
      <c r="G153" s="192" t="s">
        <v>275</v>
      </c>
      <c r="H153" s="177" t="s">
        <v>652</v>
      </c>
      <c r="J153" s="176" t="b">
        <f>EXACT(G153,'Vh5205_C-94'!G153)</f>
        <v>1</v>
      </c>
    </row>
    <row r="154" spans="1:10" s="7" customFormat="1" x14ac:dyDescent="0.35">
      <c r="A154" s="90">
        <v>150</v>
      </c>
      <c r="B154" s="146" t="s">
        <v>707</v>
      </c>
      <c r="C154" s="50" t="s">
        <v>280</v>
      </c>
      <c r="D154" s="50"/>
      <c r="E154" s="50"/>
      <c r="F154" s="19" t="s">
        <v>79</v>
      </c>
      <c r="G154" s="161" t="s">
        <v>494</v>
      </c>
      <c r="H154" s="177" t="s">
        <v>652</v>
      </c>
      <c r="J154" s="176" t="b">
        <f>EXACT(G154,'Vh5205_C-94'!G154)</f>
        <v>1</v>
      </c>
    </row>
    <row r="155" spans="1:10" s="7" customFormat="1" x14ac:dyDescent="0.35">
      <c r="A155" s="90">
        <v>151</v>
      </c>
      <c r="B155" s="146" t="s">
        <v>707</v>
      </c>
      <c r="C155" s="50" t="s">
        <v>44</v>
      </c>
      <c r="D155" s="50"/>
      <c r="E155" s="50"/>
      <c r="F155" s="19" t="s">
        <v>79</v>
      </c>
      <c r="G155" s="205" t="s">
        <v>495</v>
      </c>
      <c r="H155" s="177" t="s">
        <v>652</v>
      </c>
      <c r="J155" s="176" t="b">
        <f>EXACT(G155,'Vh5205_C-94'!G155)</f>
        <v>1</v>
      </c>
    </row>
    <row r="156" spans="1:10" s="7" customFormat="1" x14ac:dyDescent="0.35">
      <c r="A156" s="90">
        <v>152</v>
      </c>
      <c r="B156" s="10" t="s">
        <v>707</v>
      </c>
      <c r="C156" s="156" t="s">
        <v>289</v>
      </c>
      <c r="D156" s="50"/>
      <c r="E156" s="50"/>
      <c r="F156" s="20" t="s">
        <v>79</v>
      </c>
      <c r="G156" s="192" t="s">
        <v>524</v>
      </c>
      <c r="H156" s="177" t="s">
        <v>652</v>
      </c>
      <c r="J156" s="176" t="b">
        <f>EXACT(G156,'Vh5205_C-94'!G156)</f>
        <v>1</v>
      </c>
    </row>
    <row r="157" spans="1:10" s="7" customFormat="1" x14ac:dyDescent="0.35">
      <c r="A157" s="90">
        <v>153</v>
      </c>
      <c r="B157" s="146" t="s">
        <v>707</v>
      </c>
      <c r="C157" s="50" t="s">
        <v>279</v>
      </c>
      <c r="D157" s="50"/>
      <c r="E157" s="50"/>
      <c r="F157" s="19" t="s">
        <v>79</v>
      </c>
      <c r="G157" s="192" t="s">
        <v>385</v>
      </c>
      <c r="H157" s="177" t="s">
        <v>652</v>
      </c>
      <c r="J157" s="176" t="b">
        <f>EXACT(G157,'Vh5205_C-94'!G157)</f>
        <v>1</v>
      </c>
    </row>
    <row r="158" spans="1:10" s="7" customFormat="1" x14ac:dyDescent="0.35">
      <c r="A158" s="90">
        <v>154</v>
      </c>
      <c r="B158" s="10" t="s">
        <v>707</v>
      </c>
      <c r="C158" s="156" t="s">
        <v>31</v>
      </c>
      <c r="D158" s="50"/>
      <c r="E158" s="50" t="s">
        <v>194</v>
      </c>
      <c r="F158" s="19" t="s">
        <v>26</v>
      </c>
      <c r="G158" s="199" t="s">
        <v>496</v>
      </c>
      <c r="H158" s="177" t="s">
        <v>652</v>
      </c>
      <c r="J158" s="176" t="b">
        <f>EXACT(G158,'Vh5205_C-94'!G158)</f>
        <v>1</v>
      </c>
    </row>
    <row r="159" spans="1:10" s="7" customFormat="1" x14ac:dyDescent="0.35">
      <c r="A159" s="90">
        <v>155</v>
      </c>
      <c r="B159" s="10" t="s">
        <v>707</v>
      </c>
      <c r="C159" s="156" t="s">
        <v>32</v>
      </c>
      <c r="D159" s="50"/>
      <c r="E159" s="50" t="s">
        <v>586</v>
      </c>
      <c r="F159" s="19" t="s">
        <v>26</v>
      </c>
      <c r="G159" s="198" t="s">
        <v>497</v>
      </c>
      <c r="H159" s="177" t="s">
        <v>652</v>
      </c>
      <c r="J159" s="176" t="b">
        <f>EXACT(G159,'Vh5205_C-94'!G159)</f>
        <v>1</v>
      </c>
    </row>
    <row r="160" spans="1:10" s="7" customFormat="1" x14ac:dyDescent="0.35">
      <c r="A160" s="90">
        <v>156</v>
      </c>
      <c r="B160" s="10" t="s">
        <v>707</v>
      </c>
      <c r="C160" s="156" t="s">
        <v>291</v>
      </c>
      <c r="D160" s="50"/>
      <c r="E160" s="50" t="s">
        <v>2</v>
      </c>
      <c r="F160" s="19" t="s">
        <v>26</v>
      </c>
      <c r="G160" s="192">
        <v>25</v>
      </c>
      <c r="H160" s="177" t="s">
        <v>652</v>
      </c>
      <c r="J160" s="176" t="b">
        <f>EXACT(G160,'Vh5205_C-94'!G160)</f>
        <v>1</v>
      </c>
    </row>
    <row r="161" spans="1:10" s="7" customFormat="1" x14ac:dyDescent="0.35">
      <c r="A161" s="90">
        <v>157</v>
      </c>
      <c r="B161" s="146" t="s">
        <v>707</v>
      </c>
      <c r="C161" s="50" t="s">
        <v>293</v>
      </c>
      <c r="D161" s="50"/>
      <c r="E161" s="50"/>
      <c r="F161" s="20" t="s">
        <v>26</v>
      </c>
      <c r="G161" s="192" t="s">
        <v>196</v>
      </c>
      <c r="H161" s="177" t="s">
        <v>652</v>
      </c>
      <c r="J161" s="176" t="b">
        <f>EXACT(G161,'Vh5205_C-94'!G161)</f>
        <v>1</v>
      </c>
    </row>
    <row r="162" spans="1:10" s="7" customFormat="1" x14ac:dyDescent="0.35">
      <c r="A162" s="90">
        <v>158</v>
      </c>
      <c r="B162" s="104" t="s">
        <v>707</v>
      </c>
      <c r="C162" s="158" t="s">
        <v>161</v>
      </c>
      <c r="D162" s="158"/>
      <c r="E162" s="158"/>
      <c r="F162" s="20" t="s">
        <v>79</v>
      </c>
      <c r="G162" s="161" t="s">
        <v>539</v>
      </c>
      <c r="H162" s="177" t="s">
        <v>652</v>
      </c>
      <c r="J162" s="176" t="b">
        <f>EXACT(G162,'Vh5205_C-94'!G162)</f>
        <v>1</v>
      </c>
    </row>
    <row r="163" spans="1:10" x14ac:dyDescent="0.35">
      <c r="A163" s="90">
        <v>159</v>
      </c>
      <c r="B163" s="104" t="s">
        <v>707</v>
      </c>
      <c r="C163" s="158" t="s">
        <v>358</v>
      </c>
      <c r="D163" s="158"/>
      <c r="E163" s="158"/>
      <c r="F163" s="20" t="s">
        <v>26</v>
      </c>
      <c r="G163" s="195">
        <v>45104</v>
      </c>
      <c r="H163" s="140"/>
      <c r="J163" s="2" t="b">
        <f>EXACT(G163,'Vh5205_C-94'!G163)</f>
        <v>1</v>
      </c>
    </row>
    <row r="164" spans="1:10" x14ac:dyDescent="0.35">
      <c r="A164" s="90">
        <v>160</v>
      </c>
      <c r="B164" s="104" t="s">
        <v>707</v>
      </c>
      <c r="C164" s="158" t="s">
        <v>271</v>
      </c>
      <c r="D164" s="158"/>
      <c r="E164" s="158"/>
      <c r="F164" s="20" t="s">
        <v>26</v>
      </c>
      <c r="G164" s="161" t="s">
        <v>492</v>
      </c>
      <c r="H164" s="177" t="s">
        <v>652</v>
      </c>
      <c r="J164" s="176" t="b">
        <f>EXACT(G164,'Vh5205_C-94'!G164)</f>
        <v>1</v>
      </c>
    </row>
    <row r="165" spans="1:10" s="7" customFormat="1" x14ac:dyDescent="0.35">
      <c r="A165" s="90">
        <v>161</v>
      </c>
      <c r="B165" s="146" t="s">
        <v>707</v>
      </c>
      <c r="C165" s="50" t="s">
        <v>119</v>
      </c>
      <c r="D165" s="50"/>
      <c r="E165" s="50"/>
      <c r="F165" s="20" t="s">
        <v>26</v>
      </c>
      <c r="G165" s="161">
        <v>1</v>
      </c>
      <c r="H165" s="177" t="s">
        <v>652</v>
      </c>
      <c r="J165" s="176" t="b">
        <f>EXACT(G165,'Vh5205_C-94'!G165)</f>
        <v>1</v>
      </c>
    </row>
    <row r="166" spans="1:10" s="7" customFormat="1" x14ac:dyDescent="0.35">
      <c r="A166" s="90">
        <v>162</v>
      </c>
      <c r="B166" s="146" t="s">
        <v>707</v>
      </c>
      <c r="C166" s="50" t="s">
        <v>145</v>
      </c>
      <c r="D166" s="50"/>
      <c r="E166" s="156" t="s">
        <v>171</v>
      </c>
      <c r="F166" s="20" t="s">
        <v>26</v>
      </c>
      <c r="G166" s="161" t="s">
        <v>543</v>
      </c>
      <c r="H166" s="177" t="s">
        <v>652</v>
      </c>
      <c r="J166" s="176" t="b">
        <f>EXACT(G166,'Vh5205_C-94'!G166)</f>
        <v>1</v>
      </c>
    </row>
    <row r="167" spans="1:10" s="7" customFormat="1" x14ac:dyDescent="0.35">
      <c r="A167" s="90">
        <v>163</v>
      </c>
      <c r="B167" s="87" t="s">
        <v>707</v>
      </c>
      <c r="C167" s="87" t="s">
        <v>120</v>
      </c>
      <c r="D167" s="87"/>
      <c r="E167" s="87"/>
      <c r="F167" s="21" t="s">
        <v>26</v>
      </c>
      <c r="G167" s="194" t="s">
        <v>276</v>
      </c>
      <c r="H167" s="180" t="s">
        <v>652</v>
      </c>
      <c r="J167" s="176" t="b">
        <f>EXACT(G167,'Vh5205_C-94'!G167)</f>
        <v>1</v>
      </c>
    </row>
    <row r="168" spans="1:10" s="7" customFormat="1" x14ac:dyDescent="0.35">
      <c r="A168" s="90"/>
      <c r="B168" s="10" t="s">
        <v>708</v>
      </c>
      <c r="C168" s="156"/>
      <c r="D168" s="50"/>
      <c r="E168" s="50"/>
      <c r="F168" s="20"/>
      <c r="G168" s="208"/>
      <c r="H168" s="180"/>
      <c r="J168" s="1" t="b">
        <f>EXACT(G168,'Vh5205_C-94'!G168)</f>
        <v>1</v>
      </c>
    </row>
    <row r="169" spans="1:10" s="7" customFormat="1" ht="46.5" x14ac:dyDescent="0.35">
      <c r="A169" s="90">
        <v>164</v>
      </c>
      <c r="B169" s="102" t="s">
        <v>709</v>
      </c>
      <c r="C169" s="102" t="s">
        <v>588</v>
      </c>
      <c r="D169" s="100"/>
      <c r="E169" s="100"/>
      <c r="F169" s="18" t="s">
        <v>26</v>
      </c>
      <c r="G169" s="197" t="s">
        <v>657</v>
      </c>
      <c r="H169" s="177" t="s">
        <v>652</v>
      </c>
      <c r="J169" s="176" t="b">
        <f>EXACT(G169,'Vh5205_C-94'!G169)</f>
        <v>1</v>
      </c>
    </row>
    <row r="170" spans="1:10" s="7" customFormat="1" ht="31" x14ac:dyDescent="0.35">
      <c r="A170" s="90">
        <v>165</v>
      </c>
      <c r="B170" s="10" t="s">
        <v>709</v>
      </c>
      <c r="C170" s="156" t="s">
        <v>589</v>
      </c>
      <c r="D170" s="50"/>
      <c r="E170" s="50"/>
      <c r="F170" s="23" t="s">
        <v>26</v>
      </c>
      <c r="G170" s="161" t="s">
        <v>622</v>
      </c>
      <c r="H170" s="177" t="s">
        <v>652</v>
      </c>
      <c r="J170" s="176" t="b">
        <f>EXACT(G170,'Vh5205_C-94'!G170)</f>
        <v>1</v>
      </c>
    </row>
    <row r="171" spans="1:10" s="7" customFormat="1" ht="17.5" x14ac:dyDescent="0.35">
      <c r="A171" s="90">
        <v>166</v>
      </c>
      <c r="B171" s="10" t="s">
        <v>709</v>
      </c>
      <c r="C171" s="156" t="s">
        <v>498</v>
      </c>
      <c r="D171" s="50"/>
      <c r="E171" s="50"/>
      <c r="F171" s="23" t="s">
        <v>26</v>
      </c>
      <c r="G171" s="161" t="s">
        <v>658</v>
      </c>
      <c r="H171" s="177" t="s">
        <v>652</v>
      </c>
      <c r="J171" s="176" t="b">
        <f>EXACT(G171,'Vh5205_C-94'!G171)</f>
        <v>1</v>
      </c>
    </row>
    <row r="172" spans="1:10" s="7" customFormat="1" x14ac:dyDescent="0.35">
      <c r="A172" s="90">
        <v>167</v>
      </c>
      <c r="B172" s="10" t="s">
        <v>709</v>
      </c>
      <c r="C172" s="156" t="s">
        <v>313</v>
      </c>
      <c r="D172" s="50"/>
      <c r="E172" s="50"/>
      <c r="F172" s="19" t="s">
        <v>26</v>
      </c>
      <c r="G172" s="192" t="s">
        <v>48</v>
      </c>
      <c r="H172" s="177" t="s">
        <v>652</v>
      </c>
      <c r="J172" s="176" t="b">
        <f>EXACT(G172,'Vh5205_C-94'!G172)</f>
        <v>1</v>
      </c>
    </row>
    <row r="173" spans="1:10" s="7" customFormat="1" x14ac:dyDescent="0.35">
      <c r="A173" s="90">
        <v>168</v>
      </c>
      <c r="B173" s="146" t="s">
        <v>709</v>
      </c>
      <c r="C173" s="50" t="s">
        <v>306</v>
      </c>
      <c r="D173" s="50"/>
      <c r="E173" s="50"/>
      <c r="F173" s="19" t="s">
        <v>26</v>
      </c>
      <c r="G173" s="192" t="s">
        <v>524</v>
      </c>
      <c r="H173" s="177" t="s">
        <v>652</v>
      </c>
      <c r="J173" s="176" t="b">
        <f>EXACT(G173,'Vh5205_C-94'!G173)</f>
        <v>1</v>
      </c>
    </row>
    <row r="174" spans="1:10" s="7" customFormat="1" x14ac:dyDescent="0.35">
      <c r="A174" s="90">
        <v>169</v>
      </c>
      <c r="B174" s="87" t="s">
        <v>709</v>
      </c>
      <c r="C174" s="87" t="s">
        <v>307</v>
      </c>
      <c r="D174" s="87"/>
      <c r="E174" s="87"/>
      <c r="F174" s="22" t="s">
        <v>79</v>
      </c>
      <c r="G174" s="196"/>
      <c r="H174" s="180"/>
      <c r="J174" s="1" t="b">
        <f>EXACT(G174,'Vh5205_C-94'!G174)</f>
        <v>1</v>
      </c>
    </row>
    <row r="175" spans="1:10" s="7" customFormat="1" x14ac:dyDescent="0.35">
      <c r="A175" s="90">
        <v>170</v>
      </c>
      <c r="B175" s="146" t="s">
        <v>710</v>
      </c>
      <c r="C175" s="50" t="s">
        <v>10</v>
      </c>
      <c r="D175" s="50" t="s">
        <v>146</v>
      </c>
      <c r="E175" s="50" t="s">
        <v>2</v>
      </c>
      <c r="F175" s="19" t="s">
        <v>26</v>
      </c>
      <c r="G175" s="209">
        <v>5.99</v>
      </c>
      <c r="H175" s="177"/>
      <c r="J175" s="1" t="b">
        <f>EXACT(G175,'Vh5205_C-94'!G175)</f>
        <v>1</v>
      </c>
    </row>
    <row r="176" spans="1:10" s="7" customFormat="1" ht="17.5" x14ac:dyDescent="0.35">
      <c r="A176" s="90">
        <v>171</v>
      </c>
      <c r="B176" s="146" t="s">
        <v>710</v>
      </c>
      <c r="C176" s="50" t="s">
        <v>11</v>
      </c>
      <c r="D176" s="50" t="s">
        <v>591</v>
      </c>
      <c r="E176" s="50" t="s">
        <v>2</v>
      </c>
      <c r="F176" s="19" t="s">
        <v>26</v>
      </c>
      <c r="G176" s="210">
        <v>23.9</v>
      </c>
      <c r="H176" s="177"/>
      <c r="J176" s="1" t="b">
        <f>EXACT(G176,'Vh5205_C-94'!G176)</f>
        <v>0</v>
      </c>
    </row>
    <row r="177" spans="1:10" s="7" customFormat="1" ht="17.5" x14ac:dyDescent="0.35">
      <c r="A177" s="90">
        <v>172</v>
      </c>
      <c r="B177" s="146" t="s">
        <v>710</v>
      </c>
      <c r="C177" s="50" t="s">
        <v>439</v>
      </c>
      <c r="D177" s="50" t="s">
        <v>592</v>
      </c>
      <c r="E177" s="50" t="s">
        <v>2</v>
      </c>
      <c r="F177" s="19" t="s">
        <v>26</v>
      </c>
      <c r="G177" s="192">
        <v>36</v>
      </c>
      <c r="H177" s="177" t="s">
        <v>652</v>
      </c>
      <c r="J177" s="176" t="b">
        <f>EXACT(G177,'Vh5205_C-94'!G177)</f>
        <v>1</v>
      </c>
    </row>
    <row r="178" spans="1:10" s="7" customFormat="1" x14ac:dyDescent="0.35">
      <c r="A178" s="90">
        <v>173</v>
      </c>
      <c r="B178" s="10" t="s">
        <v>710</v>
      </c>
      <c r="C178" s="156" t="s">
        <v>28</v>
      </c>
      <c r="D178" s="50" t="s">
        <v>593</v>
      </c>
      <c r="E178" s="50" t="s">
        <v>2</v>
      </c>
      <c r="F178" s="19" t="s">
        <v>26</v>
      </c>
      <c r="G178" s="211">
        <v>22.9</v>
      </c>
      <c r="H178" s="177"/>
      <c r="J178" s="1" t="b">
        <f>EXACT(G178,'Vh5205_C-94'!G178)</f>
        <v>0</v>
      </c>
    </row>
    <row r="179" spans="1:10" s="7" customFormat="1" ht="17.5" x14ac:dyDescent="0.35">
      <c r="A179" s="90">
        <v>174</v>
      </c>
      <c r="B179" s="10" t="s">
        <v>710</v>
      </c>
      <c r="C179" s="156" t="s">
        <v>29</v>
      </c>
      <c r="D179" s="156" t="s">
        <v>440</v>
      </c>
      <c r="E179" s="50" t="s">
        <v>2</v>
      </c>
      <c r="F179" s="19" t="s">
        <v>26</v>
      </c>
      <c r="G179" s="210">
        <v>23.9</v>
      </c>
      <c r="H179" s="177"/>
      <c r="J179" s="1" t="b">
        <f>EXACT(G179,'Vh5205_C-94'!G179)</f>
        <v>0</v>
      </c>
    </row>
    <row r="180" spans="1:10" s="7" customFormat="1" ht="17.5" x14ac:dyDescent="0.35">
      <c r="A180" s="90">
        <v>175</v>
      </c>
      <c r="B180" s="10" t="s">
        <v>710</v>
      </c>
      <c r="C180" s="156" t="s">
        <v>441</v>
      </c>
      <c r="D180" s="156" t="s">
        <v>442</v>
      </c>
      <c r="E180" s="50" t="s">
        <v>2</v>
      </c>
      <c r="F180" s="19" t="s">
        <v>26</v>
      </c>
      <c r="G180" s="192" t="s">
        <v>524</v>
      </c>
      <c r="H180" s="177" t="s">
        <v>652</v>
      </c>
      <c r="J180" s="176" t="b">
        <f>EXACT(G180,'Vh5205_C-94'!G180)</f>
        <v>1</v>
      </c>
    </row>
    <row r="181" spans="1:10" s="7" customFormat="1" ht="17.5" x14ac:dyDescent="0.35">
      <c r="A181" s="90">
        <v>176</v>
      </c>
      <c r="B181" s="10" t="s">
        <v>710</v>
      </c>
      <c r="C181" s="156" t="s">
        <v>30</v>
      </c>
      <c r="D181" s="156" t="s">
        <v>443</v>
      </c>
      <c r="E181" s="50" t="s">
        <v>2</v>
      </c>
      <c r="F181" s="19" t="s">
        <v>26</v>
      </c>
      <c r="G181" s="211">
        <v>22.9</v>
      </c>
      <c r="H181" s="177"/>
      <c r="J181" s="1" t="b">
        <f>EXACT(G181,'Vh5205_C-94'!G181)</f>
        <v>0</v>
      </c>
    </row>
    <row r="182" spans="1:10" s="7" customFormat="1" x14ac:dyDescent="0.35">
      <c r="A182" s="90">
        <v>177</v>
      </c>
      <c r="B182" s="146" t="s">
        <v>710</v>
      </c>
      <c r="C182" s="50" t="s">
        <v>444</v>
      </c>
      <c r="D182" s="156" t="s">
        <v>445</v>
      </c>
      <c r="E182" s="50" t="s">
        <v>2</v>
      </c>
      <c r="F182" s="19" t="s">
        <v>26</v>
      </c>
      <c r="G182" s="211">
        <v>4</v>
      </c>
      <c r="H182" s="177"/>
      <c r="J182" s="1" t="b">
        <f>EXACT(G182,'Vh5205_C-94'!G182)</f>
        <v>1</v>
      </c>
    </row>
    <row r="183" spans="1:10" s="7" customFormat="1" ht="17.5" x14ac:dyDescent="0.35">
      <c r="A183" s="90">
        <v>178</v>
      </c>
      <c r="B183" s="146" t="s">
        <v>710</v>
      </c>
      <c r="C183" s="50" t="s">
        <v>446</v>
      </c>
      <c r="D183" s="156" t="s">
        <v>447</v>
      </c>
      <c r="E183" s="50" t="s">
        <v>2</v>
      </c>
      <c r="F183" s="19" t="s">
        <v>26</v>
      </c>
      <c r="G183" s="203">
        <v>4.5</v>
      </c>
      <c r="H183" s="177"/>
      <c r="J183" s="1" t="b">
        <f>EXACT(G183,'Vh5205_C-94'!G183)</f>
        <v>0</v>
      </c>
    </row>
    <row r="184" spans="1:10" s="7" customFormat="1" x14ac:dyDescent="0.35">
      <c r="A184" s="90">
        <v>179</v>
      </c>
      <c r="B184" s="146" t="s">
        <v>710</v>
      </c>
      <c r="C184" s="50" t="s">
        <v>448</v>
      </c>
      <c r="D184" s="156" t="s">
        <v>449</v>
      </c>
      <c r="E184" s="50" t="s">
        <v>2</v>
      </c>
      <c r="F184" s="19" t="s">
        <v>26</v>
      </c>
      <c r="G184" s="192" t="s">
        <v>524</v>
      </c>
      <c r="H184" s="177" t="s">
        <v>652</v>
      </c>
      <c r="J184" s="176" t="b">
        <f>EXACT(G184,'Vh5205_C-94'!G184)</f>
        <v>1</v>
      </c>
    </row>
    <row r="185" spans="1:10" s="7" customFormat="1" ht="17.5" x14ac:dyDescent="0.35">
      <c r="A185" s="90">
        <v>180</v>
      </c>
      <c r="B185" s="146" t="s">
        <v>710</v>
      </c>
      <c r="C185" s="50" t="s">
        <v>450</v>
      </c>
      <c r="D185" s="156" t="s">
        <v>451</v>
      </c>
      <c r="E185" s="50" t="s">
        <v>2</v>
      </c>
      <c r="F185" s="19" t="s">
        <v>26</v>
      </c>
      <c r="G185" s="192" t="s">
        <v>524</v>
      </c>
      <c r="H185" s="177" t="s">
        <v>652</v>
      </c>
      <c r="J185" s="176" t="b">
        <f>EXACT(G185,'Vh5205_C-94'!G185)</f>
        <v>1</v>
      </c>
    </row>
    <row r="186" spans="1:10" s="7" customFormat="1" x14ac:dyDescent="0.35">
      <c r="A186" s="90">
        <v>181</v>
      </c>
      <c r="B186" s="146" t="s">
        <v>710</v>
      </c>
      <c r="C186" s="50" t="s">
        <v>452</v>
      </c>
      <c r="D186" s="156" t="s">
        <v>453</v>
      </c>
      <c r="E186" s="50" t="s">
        <v>2</v>
      </c>
      <c r="F186" s="19" t="s">
        <v>26</v>
      </c>
      <c r="G186" s="211">
        <v>3.8</v>
      </c>
      <c r="H186" s="177"/>
      <c r="J186" s="1" t="b">
        <f>EXACT(G186,'Vh5205_C-94'!G186)</f>
        <v>1</v>
      </c>
    </row>
    <row r="187" spans="1:10" s="7" customFormat="1" ht="17.5" x14ac:dyDescent="0.35">
      <c r="A187" s="90">
        <v>182</v>
      </c>
      <c r="B187" s="87" t="s">
        <v>710</v>
      </c>
      <c r="C187" s="87" t="s">
        <v>454</v>
      </c>
      <c r="D187" s="13" t="s">
        <v>455</v>
      </c>
      <c r="E187" s="87" t="s">
        <v>2</v>
      </c>
      <c r="F187" s="22" t="s">
        <v>26</v>
      </c>
      <c r="G187" s="212">
        <v>4.32</v>
      </c>
      <c r="H187" s="180"/>
      <c r="J187" s="1" t="b">
        <f>EXACT(G187,'Vh5205_C-94'!G187)</f>
        <v>0</v>
      </c>
    </row>
    <row r="188" spans="1:10" s="7" customFormat="1" x14ac:dyDescent="0.35">
      <c r="A188" s="90">
        <v>183</v>
      </c>
      <c r="B188" s="146" t="s">
        <v>711</v>
      </c>
      <c r="C188" s="50" t="s">
        <v>45</v>
      </c>
      <c r="D188" s="50" t="s">
        <v>36</v>
      </c>
      <c r="E188" s="50" t="s">
        <v>314</v>
      </c>
      <c r="F188" s="19" t="s">
        <v>26</v>
      </c>
      <c r="G188" s="192" t="s">
        <v>544</v>
      </c>
      <c r="H188" s="177" t="s">
        <v>652</v>
      </c>
      <c r="J188" s="176" t="b">
        <f>EXACT(G188,'Vh5205_C-94'!G188)</f>
        <v>1</v>
      </c>
    </row>
    <row r="189" spans="1:10" s="7" customFormat="1" x14ac:dyDescent="0.35">
      <c r="A189" s="90">
        <v>184</v>
      </c>
      <c r="B189" s="10" t="s">
        <v>711</v>
      </c>
      <c r="C189" s="156" t="s">
        <v>47</v>
      </c>
      <c r="D189" s="160" t="s">
        <v>597</v>
      </c>
      <c r="E189" s="50" t="s">
        <v>2</v>
      </c>
      <c r="F189" s="19" t="s">
        <v>79</v>
      </c>
      <c r="G189" s="161"/>
      <c r="H189" s="177"/>
      <c r="J189" s="1" t="b">
        <f>EXACT(G189,'Vh5205_C-94'!G189)</f>
        <v>1</v>
      </c>
    </row>
    <row r="190" spans="1:10" s="7" customFormat="1" ht="17.5" x14ac:dyDescent="0.35">
      <c r="A190" s="90">
        <v>185</v>
      </c>
      <c r="B190" s="10" t="s">
        <v>711</v>
      </c>
      <c r="C190" s="156" t="s">
        <v>175</v>
      </c>
      <c r="D190" s="160" t="s">
        <v>598</v>
      </c>
      <c r="E190" s="50" t="s">
        <v>2</v>
      </c>
      <c r="F190" s="19" t="s">
        <v>79</v>
      </c>
      <c r="G190" s="161"/>
      <c r="H190" s="177"/>
      <c r="J190" s="1" t="b">
        <f>EXACT(G190,'Vh5205_C-94'!G190)</f>
        <v>1</v>
      </c>
    </row>
    <row r="191" spans="1:10" s="7" customFormat="1" x14ac:dyDescent="0.35">
      <c r="A191" s="90">
        <v>186</v>
      </c>
      <c r="B191" s="146" t="s">
        <v>711</v>
      </c>
      <c r="C191" s="50" t="s">
        <v>12</v>
      </c>
      <c r="D191" s="50"/>
      <c r="E191" s="50" t="s">
        <v>5</v>
      </c>
      <c r="F191" s="19" t="s">
        <v>26</v>
      </c>
      <c r="G191" s="161">
        <v>1.61</v>
      </c>
      <c r="H191" s="177"/>
      <c r="J191" s="1" t="b">
        <f>EXACT(G191,'Vh5205_C-94'!G191)</f>
        <v>0</v>
      </c>
    </row>
    <row r="192" spans="1:10" s="7" customFormat="1" x14ac:dyDescent="0.35">
      <c r="A192" s="90">
        <v>187</v>
      </c>
      <c r="B192" s="146" t="s">
        <v>711</v>
      </c>
      <c r="C192" s="50" t="s">
        <v>53</v>
      </c>
      <c r="D192" s="50"/>
      <c r="E192" s="50" t="s">
        <v>5</v>
      </c>
      <c r="F192" s="19" t="s">
        <v>26</v>
      </c>
      <c r="G192" s="161">
        <v>2.81</v>
      </c>
      <c r="H192" s="177"/>
      <c r="J192" s="1" t="b">
        <f>EXACT(G192,'Vh5205_C-94'!G192)</f>
        <v>0</v>
      </c>
    </row>
    <row r="193" spans="1:10" s="7" customFormat="1" x14ac:dyDescent="0.35">
      <c r="A193" s="90">
        <v>188</v>
      </c>
      <c r="B193" s="146" t="s">
        <v>711</v>
      </c>
      <c r="C193" s="50" t="s">
        <v>8</v>
      </c>
      <c r="D193" s="50" t="s">
        <v>36</v>
      </c>
      <c r="E193" s="50" t="s">
        <v>5</v>
      </c>
      <c r="F193" s="22" t="s">
        <v>26</v>
      </c>
      <c r="G193" s="213">
        <v>1010</v>
      </c>
      <c r="H193" s="180"/>
      <c r="J193" s="1" t="b">
        <f>EXACT(G193,'Vh5205_C-94'!G193)</f>
        <v>0</v>
      </c>
    </row>
    <row r="194" spans="1:10" s="7" customFormat="1" ht="17.5" x14ac:dyDescent="0.35">
      <c r="A194" s="90">
        <v>189</v>
      </c>
      <c r="B194" s="100" t="s">
        <v>712</v>
      </c>
      <c r="C194" s="100" t="s">
        <v>118</v>
      </c>
      <c r="D194" s="100" t="s">
        <v>599</v>
      </c>
      <c r="E194" s="100" t="s">
        <v>5</v>
      </c>
      <c r="F194" s="19" t="s">
        <v>26</v>
      </c>
      <c r="G194" s="214" t="s">
        <v>524</v>
      </c>
      <c r="H194" s="177"/>
      <c r="J194" s="1" t="b">
        <f>EXACT(G194,'Vh5205_C-94'!G194)</f>
        <v>1</v>
      </c>
    </row>
    <row r="195" spans="1:10" s="7" customFormat="1" x14ac:dyDescent="0.35">
      <c r="A195" s="90">
        <v>190</v>
      </c>
      <c r="B195" s="10" t="s">
        <v>712</v>
      </c>
      <c r="C195" s="156" t="s">
        <v>176</v>
      </c>
      <c r="D195" s="50"/>
      <c r="E195" s="50"/>
      <c r="F195" s="19" t="s">
        <v>26</v>
      </c>
      <c r="G195" s="161" t="s">
        <v>524</v>
      </c>
      <c r="H195" s="177"/>
      <c r="J195" s="1" t="b">
        <f>EXACT(G195,'Vh5205_C-94'!G195)</f>
        <v>1</v>
      </c>
    </row>
    <row r="196" spans="1:10" s="7" customFormat="1" x14ac:dyDescent="0.35">
      <c r="A196" s="90">
        <v>191</v>
      </c>
      <c r="B196" s="13" t="s">
        <v>712</v>
      </c>
      <c r="C196" s="13" t="s">
        <v>38</v>
      </c>
      <c r="D196" s="87" t="s">
        <v>49</v>
      </c>
      <c r="E196" s="87" t="s">
        <v>2</v>
      </c>
      <c r="F196" s="22" t="s">
        <v>79</v>
      </c>
      <c r="G196" s="215" t="s">
        <v>524</v>
      </c>
      <c r="H196" s="180"/>
      <c r="J196" s="1" t="b">
        <f>EXACT(G196,'Vh5205_C-94'!G196)</f>
        <v>1</v>
      </c>
    </row>
    <row r="197" spans="1:10" s="7" customFormat="1" ht="17.5" x14ac:dyDescent="0.35">
      <c r="A197" s="90">
        <v>192</v>
      </c>
      <c r="B197" s="10" t="s">
        <v>711</v>
      </c>
      <c r="C197" s="156" t="s">
        <v>22</v>
      </c>
      <c r="D197" s="156" t="s">
        <v>46</v>
      </c>
      <c r="E197" s="156" t="s">
        <v>3</v>
      </c>
      <c r="F197" s="19" t="s">
        <v>26</v>
      </c>
      <c r="G197" s="192" t="s">
        <v>545</v>
      </c>
      <c r="H197" s="177" t="s">
        <v>652</v>
      </c>
      <c r="J197" s="176" t="b">
        <f>EXACT(G197,'Vh5205_C-94'!G197)</f>
        <v>1</v>
      </c>
    </row>
    <row r="198" spans="1:10" s="7" customFormat="1" x14ac:dyDescent="0.35">
      <c r="A198" s="90">
        <v>193</v>
      </c>
      <c r="B198" s="10" t="s">
        <v>711</v>
      </c>
      <c r="C198" s="156" t="s">
        <v>193</v>
      </c>
      <c r="D198" s="149"/>
      <c r="E198" s="156" t="s">
        <v>0</v>
      </c>
      <c r="F198" s="19" t="s">
        <v>26</v>
      </c>
      <c r="G198" s="192" t="s">
        <v>659</v>
      </c>
      <c r="H198" s="177" t="s">
        <v>652</v>
      </c>
      <c r="J198" s="176" t="b">
        <f>EXACT(G198,'Vh5205_C-94'!G198)</f>
        <v>1</v>
      </c>
    </row>
    <row r="199" spans="1:10" s="7" customFormat="1" x14ac:dyDescent="0.35">
      <c r="A199" s="90">
        <v>194</v>
      </c>
      <c r="B199" s="146" t="s">
        <v>711</v>
      </c>
      <c r="C199" s="50" t="s">
        <v>13</v>
      </c>
      <c r="D199" s="50"/>
      <c r="E199" s="50" t="s">
        <v>6</v>
      </c>
      <c r="F199" s="19" t="s">
        <v>79</v>
      </c>
      <c r="G199" s="161"/>
      <c r="H199" s="177"/>
      <c r="J199" s="1" t="b">
        <f>EXACT(G199,'Vh5205_C-94'!G199)</f>
        <v>1</v>
      </c>
    </row>
    <row r="200" spans="1:10" s="7" customFormat="1" x14ac:dyDescent="0.35">
      <c r="A200" s="90">
        <v>195</v>
      </c>
      <c r="B200" s="146" t="s">
        <v>711</v>
      </c>
      <c r="C200" s="50" t="s">
        <v>14</v>
      </c>
      <c r="D200" s="50"/>
      <c r="E200" s="50" t="s">
        <v>6</v>
      </c>
      <c r="F200" s="19" t="s">
        <v>79</v>
      </c>
      <c r="G200" s="161"/>
      <c r="H200" s="177"/>
      <c r="J200" s="1" t="b">
        <f>EXACT(G200,'Vh5205_C-94'!G200)</f>
        <v>1</v>
      </c>
    </row>
    <row r="201" spans="1:10" s="7" customFormat="1" x14ac:dyDescent="0.35">
      <c r="A201" s="90">
        <v>196</v>
      </c>
      <c r="B201" s="146" t="s">
        <v>711</v>
      </c>
      <c r="C201" s="50" t="s">
        <v>19</v>
      </c>
      <c r="D201" s="50"/>
      <c r="E201" s="50" t="s">
        <v>113</v>
      </c>
      <c r="F201" s="19" t="s">
        <v>79</v>
      </c>
      <c r="G201" s="161"/>
      <c r="H201" s="177"/>
      <c r="J201" s="1" t="b">
        <f>EXACT(G201,'Vh5205_C-94'!G201)</f>
        <v>1</v>
      </c>
    </row>
    <row r="202" spans="1:10" s="7" customFormat="1" x14ac:dyDescent="0.35">
      <c r="A202" s="90">
        <v>197</v>
      </c>
      <c r="B202" s="146" t="s">
        <v>711</v>
      </c>
      <c r="C202" s="50" t="s">
        <v>20</v>
      </c>
      <c r="D202" s="50"/>
      <c r="E202" s="50" t="s">
        <v>113</v>
      </c>
      <c r="F202" s="19" t="s">
        <v>79</v>
      </c>
      <c r="G202" s="161"/>
      <c r="H202" s="177"/>
      <c r="J202" s="1" t="b">
        <f>EXACT(G202,'Vh5205_C-94'!G202)</f>
        <v>1</v>
      </c>
    </row>
    <row r="203" spans="1:10" s="7" customFormat="1" x14ac:dyDescent="0.35">
      <c r="A203" s="90">
        <v>198</v>
      </c>
      <c r="B203" s="13" t="s">
        <v>711</v>
      </c>
      <c r="C203" s="13" t="s">
        <v>317</v>
      </c>
      <c r="D203" s="156" t="s">
        <v>35</v>
      </c>
      <c r="E203" s="156" t="s">
        <v>1</v>
      </c>
      <c r="F203" s="22" t="s">
        <v>26</v>
      </c>
      <c r="G203" s="194" t="s">
        <v>626</v>
      </c>
      <c r="H203" s="180" t="s">
        <v>652</v>
      </c>
      <c r="J203" s="176" t="b">
        <f>EXACT(G203,'Vh5205_C-94'!G203)</f>
        <v>1</v>
      </c>
    </row>
    <row r="204" spans="1:10" s="7" customFormat="1" ht="17.5" x14ac:dyDescent="0.35">
      <c r="A204" s="90">
        <v>199</v>
      </c>
      <c r="B204" s="10" t="s">
        <v>713</v>
      </c>
      <c r="C204" s="156" t="s">
        <v>180</v>
      </c>
      <c r="D204" s="102" t="s">
        <v>181</v>
      </c>
      <c r="E204" s="100" t="s">
        <v>1</v>
      </c>
      <c r="F204" s="23" t="s">
        <v>26</v>
      </c>
      <c r="G204" s="161">
        <v>1.1399999999999999</v>
      </c>
      <c r="H204" s="177"/>
      <c r="J204" s="1" t="b">
        <f>EXACT(G204,'Vh5205_C-94'!G204)</f>
        <v>0</v>
      </c>
    </row>
    <row r="205" spans="1:10" s="7" customFormat="1" x14ac:dyDescent="0.35">
      <c r="A205" s="90">
        <v>200</v>
      </c>
      <c r="B205" s="146" t="s">
        <v>713</v>
      </c>
      <c r="C205" s="50" t="s">
        <v>37</v>
      </c>
      <c r="D205" s="50" t="s">
        <v>50</v>
      </c>
      <c r="E205" s="50" t="s">
        <v>1</v>
      </c>
      <c r="F205" s="23" t="s">
        <v>26</v>
      </c>
      <c r="G205" s="216" t="s">
        <v>524</v>
      </c>
      <c r="H205" s="177"/>
      <c r="J205" s="1" t="b">
        <f>EXACT(G205,'Vh5205_C-94'!G205)</f>
        <v>1</v>
      </c>
    </row>
    <row r="206" spans="1:10" s="7" customFormat="1" ht="17.5" x14ac:dyDescent="0.35">
      <c r="A206" s="90">
        <v>201</v>
      </c>
      <c r="B206" s="87" t="s">
        <v>713</v>
      </c>
      <c r="C206" s="87" t="s">
        <v>610</v>
      </c>
      <c r="D206" s="13" t="s">
        <v>182</v>
      </c>
      <c r="E206" s="103" t="s">
        <v>1</v>
      </c>
      <c r="F206" s="24" t="s">
        <v>26</v>
      </c>
      <c r="G206" s="217" t="s">
        <v>524</v>
      </c>
      <c r="H206" s="180"/>
      <c r="J206" s="1" t="b">
        <f>EXACT(G206,'Vh5205_C-94'!G206)</f>
        <v>1</v>
      </c>
    </row>
    <row r="207" spans="1:10" s="7" customFormat="1" x14ac:dyDescent="0.35">
      <c r="A207" s="90">
        <v>202</v>
      </c>
      <c r="B207" s="5" t="s">
        <v>714</v>
      </c>
      <c r="C207" s="149" t="s">
        <v>392</v>
      </c>
      <c r="D207" s="50"/>
      <c r="E207" s="50"/>
      <c r="F207" s="23" t="s">
        <v>26</v>
      </c>
      <c r="G207" s="161" t="s">
        <v>524</v>
      </c>
      <c r="H207" s="177" t="s">
        <v>652</v>
      </c>
      <c r="J207" s="176" t="b">
        <f>EXACT(G207,'Vh5205_C-94'!G207)</f>
        <v>1</v>
      </c>
    </row>
    <row r="208" spans="1:10" s="7" customFormat="1" x14ac:dyDescent="0.35">
      <c r="A208" s="90">
        <v>203</v>
      </c>
      <c r="B208" s="146" t="s">
        <v>714</v>
      </c>
      <c r="C208" s="50" t="s">
        <v>25</v>
      </c>
      <c r="D208" s="50" t="s">
        <v>601</v>
      </c>
      <c r="E208" s="50" t="s">
        <v>1</v>
      </c>
      <c r="F208" s="19" t="s">
        <v>26</v>
      </c>
      <c r="G208" s="218">
        <v>0.96399999999999997</v>
      </c>
      <c r="H208" s="177"/>
      <c r="J208" s="1" t="b">
        <f>EXACT(G208,'Vh5205_C-94'!G208)</f>
        <v>0</v>
      </c>
    </row>
    <row r="209" spans="1:10" s="7" customFormat="1" x14ac:dyDescent="0.35">
      <c r="A209" s="90">
        <v>204</v>
      </c>
      <c r="B209" s="146" t="s">
        <v>714</v>
      </c>
      <c r="C209" s="50" t="s">
        <v>33</v>
      </c>
      <c r="D209" s="50" t="s">
        <v>602</v>
      </c>
      <c r="E209" s="50" t="s">
        <v>1</v>
      </c>
      <c r="F209" s="19" t="s">
        <v>26</v>
      </c>
      <c r="G209" s="219">
        <v>0.153</v>
      </c>
      <c r="H209" s="177"/>
      <c r="J209" s="1" t="b">
        <f>EXACT(G209,'Vh5205_C-94'!G209)</f>
        <v>0</v>
      </c>
    </row>
    <row r="210" spans="1:10" s="7" customFormat="1" ht="17.5" x14ac:dyDescent="0.35">
      <c r="A210" s="90">
        <v>205</v>
      </c>
      <c r="B210" s="146" t="s">
        <v>714</v>
      </c>
      <c r="C210" s="50" t="s">
        <v>27</v>
      </c>
      <c r="D210" s="50" t="s">
        <v>603</v>
      </c>
      <c r="E210" s="50" t="s">
        <v>1</v>
      </c>
      <c r="F210" s="19" t="s">
        <v>26</v>
      </c>
      <c r="G210" s="219">
        <v>0.153</v>
      </c>
      <c r="H210" s="177"/>
      <c r="J210" s="1" t="b">
        <f>EXACT(G210,'Vh5205_C-94'!G210)</f>
        <v>0</v>
      </c>
    </row>
    <row r="211" spans="1:10" s="7" customFormat="1" x14ac:dyDescent="0.35">
      <c r="A211" s="90">
        <v>206</v>
      </c>
      <c r="B211" s="146" t="s">
        <v>714</v>
      </c>
      <c r="C211" s="50" t="s">
        <v>34</v>
      </c>
      <c r="D211" s="50" t="s">
        <v>604</v>
      </c>
      <c r="E211" s="50" t="s">
        <v>1</v>
      </c>
      <c r="F211" s="19" t="s">
        <v>26</v>
      </c>
      <c r="G211" s="216">
        <v>0</v>
      </c>
      <c r="H211" s="177"/>
      <c r="J211" s="1" t="b">
        <f>EXACT(G211,'Vh5205_C-94'!G211)</f>
        <v>1</v>
      </c>
    </row>
    <row r="212" spans="1:10" s="7" customFormat="1" x14ac:dyDescent="0.35">
      <c r="A212" s="90">
        <v>207</v>
      </c>
      <c r="B212" s="146" t="s">
        <v>714</v>
      </c>
      <c r="C212" s="50" t="s">
        <v>24</v>
      </c>
      <c r="D212" s="50" t="s">
        <v>605</v>
      </c>
      <c r="E212" s="50" t="s">
        <v>1</v>
      </c>
      <c r="F212" s="19" t="s">
        <v>26</v>
      </c>
      <c r="G212" s="219">
        <v>0.81100000000000005</v>
      </c>
      <c r="H212" s="177"/>
      <c r="J212" s="1" t="b">
        <f>EXACT(G212,'Vh5205_C-94'!G212)</f>
        <v>0</v>
      </c>
    </row>
    <row r="213" spans="1:10" s="7" customFormat="1" ht="17.5" x14ac:dyDescent="0.35">
      <c r="A213" s="123">
        <v>208</v>
      </c>
      <c r="B213" s="87" t="s">
        <v>714</v>
      </c>
      <c r="C213" s="87" t="s">
        <v>23</v>
      </c>
      <c r="D213" s="87" t="s">
        <v>606</v>
      </c>
      <c r="E213" s="87" t="s">
        <v>1</v>
      </c>
      <c r="F213" s="22" t="s">
        <v>26</v>
      </c>
      <c r="G213" s="220">
        <v>0.81100000000000005</v>
      </c>
      <c r="H213" s="180"/>
      <c r="J213" s="1" t="b">
        <f>EXACT(G213,'Vh5205_C-94'!G213)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976" priority="438" operator="equal">
      <formula>"Mandatory"</formula>
    </cfRule>
  </conditionalFormatting>
  <conditionalFormatting sqref="F4:F213">
    <cfRule type="cellIs" dxfId="975" priority="436" operator="equal">
      <formula>"Recommended"</formula>
    </cfRule>
    <cfRule type="cellIs" dxfId="974" priority="437" operator="equal">
      <formula>"Optional"</formula>
    </cfRule>
  </conditionalFormatting>
  <conditionalFormatting sqref="F4:F213">
    <cfRule type="cellIs" dxfId="973" priority="435" operator="equal">
      <formula>"Undecided"</formula>
    </cfRule>
  </conditionalFormatting>
  <conditionalFormatting sqref="G227:G232">
    <cfRule type="cellIs" dxfId="972" priority="269" operator="notEqual">
      <formula>0</formula>
    </cfRule>
  </conditionalFormatting>
  <conditionalFormatting sqref="J4:J213">
    <cfRule type="cellIs" dxfId="971" priority="90" operator="equal">
      <formula>FALSE</formula>
    </cfRule>
    <cfRule type="cellIs" dxfId="970" priority="91" operator="equal">
      <formula>"""FALSE"""</formula>
    </cfRule>
    <cfRule type="cellIs" dxfId="969" priority="92" operator="equal">
      <formula>"""FALSE"""</formula>
    </cfRule>
  </conditionalFormatting>
  <conditionalFormatting sqref="H124:H130">
    <cfRule type="cellIs" dxfId="968" priority="89" operator="equal">
      <formula>"Mandatory"</formula>
    </cfRule>
  </conditionalFormatting>
  <conditionalFormatting sqref="H124:H130">
    <cfRule type="cellIs" dxfId="967" priority="87" operator="equal">
      <formula>"Recommended"</formula>
    </cfRule>
    <cfRule type="cellIs" dxfId="966" priority="88" operator="equal">
      <formula>"Optional"</formula>
    </cfRule>
  </conditionalFormatting>
  <conditionalFormatting sqref="H124:H130">
    <cfRule type="cellIs" dxfId="965" priority="86" operator="equal">
      <formula>"Undecided"</formula>
    </cfRule>
  </conditionalFormatting>
  <conditionalFormatting sqref="G15 G177 G180 G184:G185 G188 G197:G198 G20 G44 G34:G38 G51:G53 G68 G57:G60 G83:G85 G141 G203 G212:G213 G40">
    <cfRule type="cellIs" dxfId="964" priority="85" operator="equal">
      <formula>"Mandatory"</formula>
    </cfRule>
  </conditionalFormatting>
  <conditionalFormatting sqref="G15 G177 G180 G184:G185 G188 G197:G198 G20 G44 G34:G38 G51:G53 G68 G57:G60 G83:G85 G141 G203 G212:G213 G40">
    <cfRule type="cellIs" dxfId="963" priority="83" operator="equal">
      <formula>"Not Mandatory"</formula>
    </cfRule>
    <cfRule type="cellIs" dxfId="962" priority="84" operator="equal">
      <formula>"Recommended"</formula>
    </cfRule>
  </conditionalFormatting>
  <conditionalFormatting sqref="G44 G37:G38 G52:G53 G57:G60 G85 G40">
    <cfRule type="cellIs" dxfId="961" priority="81" operator="equal">
      <formula>"Not Mandatory"</formula>
    </cfRule>
    <cfRule type="cellIs" dxfId="960" priority="82" operator="equal">
      <formula>"Recommended"</formula>
    </cfRule>
  </conditionalFormatting>
  <conditionalFormatting sqref="G44 G37:G38 G52:G53 G57:G60 G85 G40">
    <cfRule type="cellIs" dxfId="959" priority="79" operator="equal">
      <formula>"Not Mandatory"</formula>
    </cfRule>
    <cfRule type="cellIs" dxfId="958" priority="80" operator="equal">
      <formula>"Recommended"</formula>
    </cfRule>
  </conditionalFormatting>
  <conditionalFormatting sqref="G48:G49">
    <cfRule type="cellIs" dxfId="957" priority="78" operator="equal">
      <formula>"Mandatory"</formula>
    </cfRule>
  </conditionalFormatting>
  <conditionalFormatting sqref="G48:G49">
    <cfRule type="cellIs" dxfId="956" priority="76" operator="equal">
      <formula>"Not Mandatory"</formula>
    </cfRule>
    <cfRule type="cellIs" dxfId="955" priority="77" operator="equal">
      <formula>"Recommended"</formula>
    </cfRule>
  </conditionalFormatting>
  <conditionalFormatting sqref="G48:G49">
    <cfRule type="cellIs" dxfId="954" priority="74" operator="equal">
      <formula>"Not Mandatory"</formula>
    </cfRule>
    <cfRule type="cellIs" dxfId="953" priority="75" operator="equal">
      <formula>"Recommended"</formula>
    </cfRule>
  </conditionalFormatting>
  <conditionalFormatting sqref="G48:G49">
    <cfRule type="cellIs" dxfId="952" priority="72" operator="equal">
      <formula>"Not Mandatory"</formula>
    </cfRule>
    <cfRule type="cellIs" dxfId="951" priority="73" operator="equal">
      <formula>"Recommended"</formula>
    </cfRule>
  </conditionalFormatting>
  <conditionalFormatting sqref="G69">
    <cfRule type="cellIs" dxfId="950" priority="71" operator="equal">
      <formula>"Mandatory"</formula>
    </cfRule>
  </conditionalFormatting>
  <conditionalFormatting sqref="G69">
    <cfRule type="cellIs" dxfId="949" priority="69" operator="equal">
      <formula>"Not Mandatory"</formula>
    </cfRule>
    <cfRule type="cellIs" dxfId="948" priority="70" operator="equal">
      <formula>"Recommended"</formula>
    </cfRule>
  </conditionalFormatting>
  <conditionalFormatting sqref="G86">
    <cfRule type="cellIs" dxfId="947" priority="68" operator="equal">
      <formula>"Mandatory"</formula>
    </cfRule>
  </conditionalFormatting>
  <conditionalFormatting sqref="G86">
    <cfRule type="cellIs" dxfId="946" priority="66" operator="equal">
      <formula>"Not Mandatory"</formula>
    </cfRule>
    <cfRule type="cellIs" dxfId="945" priority="67" operator="equal">
      <formula>"Recommended"</formula>
    </cfRule>
  </conditionalFormatting>
  <conditionalFormatting sqref="G86">
    <cfRule type="cellIs" dxfId="944" priority="64" operator="equal">
      <formula>"Not Mandatory"</formula>
    </cfRule>
    <cfRule type="cellIs" dxfId="943" priority="65" operator="equal">
      <formula>"Recommended"</formula>
    </cfRule>
  </conditionalFormatting>
  <conditionalFormatting sqref="G86">
    <cfRule type="cellIs" dxfId="942" priority="62" operator="equal">
      <formula>"Not Mandatory"</formula>
    </cfRule>
    <cfRule type="cellIs" dxfId="941" priority="63" operator="equal">
      <formula>"Recommended"</formula>
    </cfRule>
  </conditionalFormatting>
  <conditionalFormatting sqref="G9:G13">
    <cfRule type="cellIs" dxfId="940" priority="61" operator="equal">
      <formula>"Mandatory"</formula>
    </cfRule>
  </conditionalFormatting>
  <conditionalFormatting sqref="G9:G13">
    <cfRule type="cellIs" dxfId="939" priority="59" operator="equal">
      <formula>"Not Mandatory"</formula>
    </cfRule>
    <cfRule type="cellIs" dxfId="938" priority="60" operator="equal">
      <formula>"Recommended"</formula>
    </cfRule>
  </conditionalFormatting>
  <conditionalFormatting sqref="G31:G33">
    <cfRule type="cellIs" dxfId="937" priority="58" operator="equal">
      <formula>"Mandatory"</formula>
    </cfRule>
  </conditionalFormatting>
  <conditionalFormatting sqref="G31:G33">
    <cfRule type="cellIs" dxfId="936" priority="56" operator="equal">
      <formula>"Not Mandatory"</formula>
    </cfRule>
    <cfRule type="cellIs" dxfId="935" priority="57" operator="equal">
      <formula>"Recommended"</formula>
    </cfRule>
  </conditionalFormatting>
  <conditionalFormatting sqref="G31:G33">
    <cfRule type="cellIs" dxfId="934" priority="54" operator="equal">
      <formula>"Not Mandatory"</formula>
    </cfRule>
    <cfRule type="cellIs" dxfId="933" priority="55" operator="equal">
      <formula>"Recommended"</formula>
    </cfRule>
  </conditionalFormatting>
  <conditionalFormatting sqref="G31:G33">
    <cfRule type="cellIs" dxfId="932" priority="52" operator="equal">
      <formula>"Not Mandatory"</formula>
    </cfRule>
    <cfRule type="cellIs" dxfId="931" priority="53" operator="equal">
      <formula>"Recommended"</formula>
    </cfRule>
  </conditionalFormatting>
  <conditionalFormatting sqref="G41">
    <cfRule type="cellIs" dxfId="930" priority="51" operator="equal">
      <formula>"Mandatory"</formula>
    </cfRule>
  </conditionalFormatting>
  <conditionalFormatting sqref="G41">
    <cfRule type="cellIs" dxfId="929" priority="49" operator="equal">
      <formula>"Not Mandatory"</formula>
    </cfRule>
    <cfRule type="cellIs" dxfId="928" priority="50" operator="equal">
      <formula>"Recommended"</formula>
    </cfRule>
  </conditionalFormatting>
  <conditionalFormatting sqref="G41">
    <cfRule type="cellIs" dxfId="927" priority="47" operator="equal">
      <formula>"Not Mandatory"</formula>
    </cfRule>
    <cfRule type="cellIs" dxfId="926" priority="48" operator="equal">
      <formula>"Recommended"</formula>
    </cfRule>
  </conditionalFormatting>
  <conditionalFormatting sqref="G41">
    <cfRule type="cellIs" dxfId="925" priority="45" operator="equal">
      <formula>"Not Mandatory"</formula>
    </cfRule>
    <cfRule type="cellIs" dxfId="924" priority="46" operator="equal">
      <formula>"Recommended"</formula>
    </cfRule>
  </conditionalFormatting>
  <conditionalFormatting sqref="G90">
    <cfRule type="cellIs" dxfId="923" priority="44" operator="equal">
      <formula>"Mandatory"</formula>
    </cfRule>
  </conditionalFormatting>
  <conditionalFormatting sqref="G90">
    <cfRule type="cellIs" dxfId="922" priority="42" operator="equal">
      <formula>"Not Mandatory"</formula>
    </cfRule>
    <cfRule type="cellIs" dxfId="921" priority="43" operator="equal">
      <formula>"Recommended"</formula>
    </cfRule>
  </conditionalFormatting>
  <conditionalFormatting sqref="G122">
    <cfRule type="cellIs" dxfId="920" priority="41" operator="equal">
      <formula>"Mandatory"</formula>
    </cfRule>
  </conditionalFormatting>
  <conditionalFormatting sqref="G122">
    <cfRule type="cellIs" dxfId="919" priority="39" operator="equal">
      <formula>"Not Mandatory"</formula>
    </cfRule>
    <cfRule type="cellIs" dxfId="918" priority="40" operator="equal">
      <formula>"Recommended"</formula>
    </cfRule>
  </conditionalFormatting>
  <conditionalFormatting sqref="G119">
    <cfRule type="cellIs" dxfId="917" priority="38" operator="equal">
      <formula>"Mandatory"</formula>
    </cfRule>
  </conditionalFormatting>
  <conditionalFormatting sqref="G119">
    <cfRule type="cellIs" dxfId="916" priority="36" operator="equal">
      <formula>"Not Mandatory"</formula>
    </cfRule>
    <cfRule type="cellIs" dxfId="915" priority="37" operator="equal">
      <formula>"Recommended"</formula>
    </cfRule>
  </conditionalFormatting>
  <conditionalFormatting sqref="G109">
    <cfRule type="cellIs" dxfId="914" priority="35" operator="equal">
      <formula>"Mandatory"</formula>
    </cfRule>
  </conditionalFormatting>
  <conditionalFormatting sqref="G109">
    <cfRule type="cellIs" dxfId="913" priority="33" operator="equal">
      <formula>"Not Mandatory"</formula>
    </cfRule>
    <cfRule type="cellIs" dxfId="912" priority="34" operator="equal">
      <formula>"Recommended"</formula>
    </cfRule>
  </conditionalFormatting>
  <conditionalFormatting sqref="G130">
    <cfRule type="cellIs" dxfId="911" priority="32" operator="equal">
      <formula>"Mandatory"</formula>
    </cfRule>
  </conditionalFormatting>
  <conditionalFormatting sqref="G130">
    <cfRule type="cellIs" dxfId="910" priority="30" operator="equal">
      <formula>"Not Mandatory"</formula>
    </cfRule>
    <cfRule type="cellIs" dxfId="909" priority="31" operator="equal">
      <formula>"Recommended"</formula>
    </cfRule>
  </conditionalFormatting>
  <conditionalFormatting sqref="G125">
    <cfRule type="cellIs" dxfId="908" priority="29" operator="equal">
      <formula>"Mandatory"</formula>
    </cfRule>
  </conditionalFormatting>
  <conditionalFormatting sqref="G125">
    <cfRule type="cellIs" dxfId="907" priority="27" operator="equal">
      <formula>"Not Mandatory"</formula>
    </cfRule>
    <cfRule type="cellIs" dxfId="906" priority="28" operator="equal">
      <formula>"Recommended"</formula>
    </cfRule>
  </conditionalFormatting>
  <conditionalFormatting sqref="G127:G129">
    <cfRule type="cellIs" dxfId="905" priority="26" operator="equal">
      <formula>"Mandatory"</formula>
    </cfRule>
  </conditionalFormatting>
  <conditionalFormatting sqref="G127:G129">
    <cfRule type="cellIs" dxfId="904" priority="24" operator="equal">
      <formula>"Not Mandatory"</formula>
    </cfRule>
    <cfRule type="cellIs" dxfId="903" priority="25" operator="equal">
      <formula>"Recommended"</formula>
    </cfRule>
  </conditionalFormatting>
  <conditionalFormatting sqref="G135:G136">
    <cfRule type="cellIs" dxfId="902" priority="23" operator="equal">
      <formula>"Mandatory"</formula>
    </cfRule>
  </conditionalFormatting>
  <conditionalFormatting sqref="G135:G136">
    <cfRule type="cellIs" dxfId="901" priority="21" operator="equal">
      <formula>"Not Mandatory"</formula>
    </cfRule>
    <cfRule type="cellIs" dxfId="900" priority="22" operator="equal">
      <formula>"Recommended"</formula>
    </cfRule>
  </conditionalFormatting>
  <conditionalFormatting sqref="G154">
    <cfRule type="cellIs" dxfId="899" priority="20" operator="equal">
      <formula>"Mandatory"</formula>
    </cfRule>
  </conditionalFormatting>
  <conditionalFormatting sqref="G154">
    <cfRule type="cellIs" dxfId="898" priority="18" operator="equal">
      <formula>"Not Mandatory"</formula>
    </cfRule>
    <cfRule type="cellIs" dxfId="897" priority="19" operator="equal">
      <formula>"Recommended"</formula>
    </cfRule>
  </conditionalFormatting>
  <conditionalFormatting sqref="G162">
    <cfRule type="cellIs" dxfId="896" priority="17" operator="equal">
      <formula>"Mandatory"</formula>
    </cfRule>
  </conditionalFormatting>
  <conditionalFormatting sqref="G162">
    <cfRule type="cellIs" dxfId="895" priority="15" operator="equal">
      <formula>"Not Mandatory"</formula>
    </cfRule>
    <cfRule type="cellIs" dxfId="894" priority="16" operator="equal">
      <formula>"Recommended"</formula>
    </cfRule>
  </conditionalFormatting>
  <conditionalFormatting sqref="G66">
    <cfRule type="cellIs" dxfId="893" priority="14" operator="equal">
      <formula>"Mandatory"</formula>
    </cfRule>
  </conditionalFormatting>
  <conditionalFormatting sqref="G66">
    <cfRule type="cellIs" dxfId="892" priority="12" operator="equal">
      <formula>"Not Mandatory"</formula>
    </cfRule>
    <cfRule type="cellIs" dxfId="891" priority="13" operator="equal">
      <formula>"Recommended"</formula>
    </cfRule>
  </conditionalFormatting>
  <conditionalFormatting sqref="G66">
    <cfRule type="cellIs" dxfId="890" priority="10" operator="equal">
      <formula>"Not Mandatory"</formula>
    </cfRule>
    <cfRule type="cellIs" dxfId="889" priority="11" operator="equal">
      <formula>"Recommended"</formula>
    </cfRule>
  </conditionalFormatting>
  <conditionalFormatting sqref="G66">
    <cfRule type="cellIs" dxfId="888" priority="8" operator="equal">
      <formula>"Not Mandatory"</formula>
    </cfRule>
    <cfRule type="cellIs" dxfId="887" priority="9" operator="equal">
      <formula>"Recommended"</formula>
    </cfRule>
  </conditionalFormatting>
  <conditionalFormatting sqref="G39">
    <cfRule type="cellIs" dxfId="886" priority="7" operator="equal">
      <formula>"Mandatory"</formula>
    </cfRule>
  </conditionalFormatting>
  <conditionalFormatting sqref="G39">
    <cfRule type="cellIs" dxfId="885" priority="5" operator="equal">
      <formula>"Not Mandatory"</formula>
    </cfRule>
    <cfRule type="cellIs" dxfId="884" priority="6" operator="equal">
      <formula>"Recommended"</formula>
    </cfRule>
  </conditionalFormatting>
  <conditionalFormatting sqref="G39">
    <cfRule type="cellIs" dxfId="883" priority="3" operator="equal">
      <formula>"Not Mandatory"</formula>
    </cfRule>
    <cfRule type="cellIs" dxfId="882" priority="4" operator="equal">
      <formula>"Recommended"</formula>
    </cfRule>
  </conditionalFormatting>
  <conditionalFormatting sqref="G39">
    <cfRule type="cellIs" dxfId="881" priority="1" operator="equal">
      <formula>"Not Mandatory"</formula>
    </cfRule>
    <cfRule type="cellIs" dxfId="880" priority="2" operator="equal">
      <formula>"Recommended"</formula>
    </cfRule>
  </conditionalFormatting>
  <dataValidations disablePrompts="1" count="1">
    <dataValidation type="list" allowBlank="1" showInputMessage="1" showErrorMessage="1" sqref="F4:F213" xr:uid="{BC100FF3-3405-440A-9540-C7E5893D09AF}">
      <formula1>$F$1:$F$2</formula1>
    </dataValidation>
  </dataValidations>
  <pageMargins left="0.7" right="0.7" top="0.75" bottom="0.75" header="0.3" footer="0.3"/>
  <pageSetup paperSize="66"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FA5D-C03E-4EAE-9A4B-D660E376F09B}">
  <sheetPr codeName="Sheet5">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45041.38318287037</v>
      </c>
      <c r="H4" s="162"/>
      <c r="J4" s="2" t="b">
        <f>EXACT(G4,'Vh5205_C-95'!G4)</f>
        <v>0</v>
      </c>
    </row>
    <row r="5" spans="1:10" x14ac:dyDescent="0.35">
      <c r="A5" s="90">
        <v>2</v>
      </c>
      <c r="B5" s="10" t="s">
        <v>685</v>
      </c>
      <c r="C5" s="10" t="s">
        <v>55</v>
      </c>
      <c r="D5" s="146"/>
      <c r="E5" s="146"/>
      <c r="F5" s="19" t="s">
        <v>26</v>
      </c>
      <c r="G5" s="202">
        <v>45061.841516203705</v>
      </c>
      <c r="H5" s="58"/>
      <c r="J5" s="2" t="b">
        <f>EXACT(G5,'Vh5205_C-95'!G5)</f>
        <v>0</v>
      </c>
    </row>
    <row r="6" spans="1:10" x14ac:dyDescent="0.35">
      <c r="A6" s="90">
        <v>3</v>
      </c>
      <c r="B6" s="146" t="s">
        <v>685</v>
      </c>
      <c r="C6" s="146" t="s">
        <v>41</v>
      </c>
      <c r="D6" s="146"/>
      <c r="E6" s="146"/>
      <c r="F6" s="19" t="s">
        <v>26</v>
      </c>
      <c r="G6" s="161" t="s">
        <v>513</v>
      </c>
      <c r="H6" s="58"/>
      <c r="J6" s="2" t="b">
        <f>EXACT(G6,'Vh5205_C-95'!G6)</f>
        <v>0</v>
      </c>
    </row>
    <row r="7" spans="1:10" x14ac:dyDescent="0.35">
      <c r="A7" s="90">
        <v>4</v>
      </c>
      <c r="B7" s="146" t="s">
        <v>685</v>
      </c>
      <c r="C7" s="146" t="s">
        <v>7</v>
      </c>
      <c r="D7" s="146"/>
      <c r="E7" s="146"/>
      <c r="F7" s="19" t="s">
        <v>79</v>
      </c>
      <c r="G7" s="192" t="s">
        <v>499</v>
      </c>
      <c r="H7" s="53" t="s">
        <v>652</v>
      </c>
      <c r="J7" s="176" t="b">
        <f>EXACT(G7,'Vh5205_C-95'!G7)</f>
        <v>1</v>
      </c>
    </row>
    <row r="8" spans="1:10" x14ac:dyDescent="0.35">
      <c r="A8" s="90">
        <v>5</v>
      </c>
      <c r="B8" s="87" t="s">
        <v>685</v>
      </c>
      <c r="C8" s="87" t="s">
        <v>39</v>
      </c>
      <c r="D8" s="87"/>
      <c r="E8" s="87"/>
      <c r="F8" s="22" t="s">
        <v>79</v>
      </c>
      <c r="G8" s="194" t="s">
        <v>524</v>
      </c>
      <c r="H8" s="181" t="s">
        <v>652</v>
      </c>
      <c r="J8" s="176" t="b">
        <f>EXACT(G8,'Vh5205_C-95'!G8)</f>
        <v>1</v>
      </c>
    </row>
    <row r="9" spans="1:10" x14ac:dyDescent="0.35">
      <c r="A9" s="90">
        <v>6</v>
      </c>
      <c r="B9" s="10" t="s">
        <v>686</v>
      </c>
      <c r="C9" s="10" t="s">
        <v>301</v>
      </c>
      <c r="D9" s="10"/>
      <c r="E9" s="10"/>
      <c r="F9" s="19" t="s">
        <v>26</v>
      </c>
      <c r="G9" s="192" t="s">
        <v>196</v>
      </c>
      <c r="H9" s="163" t="s">
        <v>652</v>
      </c>
      <c r="J9" s="176" t="b">
        <f>EXACT(G9,'Vh5205_C-95'!G9)</f>
        <v>1</v>
      </c>
    </row>
    <row r="10" spans="1:10" x14ac:dyDescent="0.35">
      <c r="A10" s="90">
        <v>7</v>
      </c>
      <c r="B10" s="10" t="s">
        <v>686</v>
      </c>
      <c r="C10" s="10" t="s">
        <v>302</v>
      </c>
      <c r="D10" s="94"/>
      <c r="E10" s="146"/>
      <c r="F10" s="19" t="s">
        <v>26</v>
      </c>
      <c r="G10" s="161" t="s">
        <v>523</v>
      </c>
      <c r="H10" s="140" t="s">
        <v>652</v>
      </c>
      <c r="J10" s="176" t="b">
        <f>EXACT(G10,'Vh5205_C-95'!G10)</f>
        <v>1</v>
      </c>
    </row>
    <row r="11" spans="1:10" x14ac:dyDescent="0.35">
      <c r="A11" s="90">
        <v>8</v>
      </c>
      <c r="B11" s="146" t="s">
        <v>686</v>
      </c>
      <c r="C11" s="146" t="s">
        <v>134</v>
      </c>
      <c r="D11" s="146" t="s">
        <v>15</v>
      </c>
      <c r="E11" s="146" t="s">
        <v>85</v>
      </c>
      <c r="F11" s="19" t="s">
        <v>26</v>
      </c>
      <c r="G11" s="192" t="s">
        <v>197</v>
      </c>
      <c r="H11" s="53" t="s">
        <v>652</v>
      </c>
      <c r="J11" s="176" t="b">
        <f>EXACT(G11,'Vh5205_C-95'!G11)</f>
        <v>1</v>
      </c>
    </row>
    <row r="12" spans="1:10" x14ac:dyDescent="0.35">
      <c r="A12" s="90">
        <v>9</v>
      </c>
      <c r="B12" s="10" t="s">
        <v>686</v>
      </c>
      <c r="C12" s="10" t="s">
        <v>310</v>
      </c>
      <c r="D12" s="146"/>
      <c r="E12" s="146"/>
      <c r="F12" s="19" t="s">
        <v>26</v>
      </c>
      <c r="G12" s="192" t="s">
        <v>198</v>
      </c>
      <c r="H12" s="53" t="s">
        <v>652</v>
      </c>
      <c r="J12" s="176" t="b">
        <f>EXACT(G12,'Vh5205_C-95'!G12)</f>
        <v>1</v>
      </c>
    </row>
    <row r="13" spans="1:10" x14ac:dyDescent="0.35">
      <c r="A13" s="90">
        <v>10</v>
      </c>
      <c r="B13" s="10" t="s">
        <v>686</v>
      </c>
      <c r="C13" s="10" t="s">
        <v>311</v>
      </c>
      <c r="D13" s="146"/>
      <c r="E13" s="146"/>
      <c r="F13" s="19" t="s">
        <v>26</v>
      </c>
      <c r="G13" s="192" t="s">
        <v>199</v>
      </c>
      <c r="H13" s="53" t="s">
        <v>652</v>
      </c>
      <c r="J13" s="176" t="b">
        <f>EXACT(G13,'Vh5205_C-95'!G13)</f>
        <v>1</v>
      </c>
    </row>
    <row r="14" spans="1:10" ht="17.5" x14ac:dyDescent="0.35">
      <c r="A14" s="90">
        <v>11</v>
      </c>
      <c r="B14" s="10" t="s">
        <v>686</v>
      </c>
      <c r="C14" s="10" t="s">
        <v>123</v>
      </c>
      <c r="D14" s="146" t="s">
        <v>557</v>
      </c>
      <c r="E14" s="146" t="s">
        <v>4</v>
      </c>
      <c r="F14" s="19" t="s">
        <v>26</v>
      </c>
      <c r="G14" s="161">
        <v>170</v>
      </c>
      <c r="H14" s="140"/>
      <c r="J14" s="1" t="b">
        <f>EXACT(G14,'Vh5205_C-95'!G14)</f>
        <v>0</v>
      </c>
    </row>
    <row r="15" spans="1:10" x14ac:dyDescent="0.35">
      <c r="A15" s="90">
        <v>12</v>
      </c>
      <c r="B15" s="146" t="s">
        <v>686</v>
      </c>
      <c r="C15" s="146" t="s">
        <v>116</v>
      </c>
      <c r="D15" s="146"/>
      <c r="E15" s="146"/>
      <c r="F15" s="19" t="s">
        <v>26</v>
      </c>
      <c r="G15" s="161" t="s">
        <v>684</v>
      </c>
      <c r="H15" s="53" t="s">
        <v>652</v>
      </c>
      <c r="J15" s="176" t="b">
        <f>EXACT(G15,'Vh5205_C-95'!G15)</f>
        <v>1</v>
      </c>
    </row>
    <row r="16" spans="1:10" x14ac:dyDescent="0.35">
      <c r="A16" s="90">
        <v>13</v>
      </c>
      <c r="B16" s="10" t="s">
        <v>686</v>
      </c>
      <c r="C16" s="10" t="s">
        <v>408</v>
      </c>
      <c r="D16" s="146"/>
      <c r="E16" s="146"/>
      <c r="F16" s="19" t="s">
        <v>26</v>
      </c>
      <c r="G16" s="161" t="s">
        <v>519</v>
      </c>
      <c r="H16" s="140"/>
      <c r="J16" s="1" t="b">
        <f>EXACT(G16,'Vh5205_C-95'!G16)</f>
        <v>0</v>
      </c>
    </row>
    <row r="17" spans="1:10" x14ac:dyDescent="0.35">
      <c r="A17" s="90">
        <v>14</v>
      </c>
      <c r="B17" s="10" t="s">
        <v>686</v>
      </c>
      <c r="C17" s="10" t="s">
        <v>409</v>
      </c>
      <c r="D17" s="146"/>
      <c r="E17" s="146"/>
      <c r="F17" s="19" t="s">
        <v>26</v>
      </c>
      <c r="G17" s="161" t="s">
        <v>524</v>
      </c>
      <c r="H17" s="140"/>
      <c r="J17" s="1" t="b">
        <f>EXACT(G17,'Vh5205_C-95'!G17)</f>
        <v>0</v>
      </c>
    </row>
    <row r="18" spans="1:10" s="7" customFormat="1" x14ac:dyDescent="0.35">
      <c r="A18" s="90">
        <v>15</v>
      </c>
      <c r="B18" s="146" t="s">
        <v>686</v>
      </c>
      <c r="C18" s="146" t="s">
        <v>177</v>
      </c>
      <c r="D18" s="146"/>
      <c r="E18" s="146"/>
      <c r="F18" s="19" t="s">
        <v>26</v>
      </c>
      <c r="G18" s="161" t="s">
        <v>524</v>
      </c>
      <c r="H18" s="177"/>
      <c r="J18" s="1" t="b">
        <f>EXACT(G18,'Vh5205_C-95'!G18)</f>
        <v>0</v>
      </c>
    </row>
    <row r="19" spans="1:10" x14ac:dyDescent="0.35">
      <c r="A19" s="90">
        <v>16</v>
      </c>
      <c r="B19" s="10" t="s">
        <v>686</v>
      </c>
      <c r="C19" s="10" t="s">
        <v>124</v>
      </c>
      <c r="D19" s="146"/>
      <c r="E19" s="146" t="s">
        <v>0</v>
      </c>
      <c r="F19" s="19" t="s">
        <v>79</v>
      </c>
      <c r="G19" s="203"/>
      <c r="H19" s="140"/>
      <c r="J19" s="1" t="b">
        <f>EXACT(G19,'Vh5205_C-95'!G19)</f>
        <v>1</v>
      </c>
    </row>
    <row r="20" spans="1:10" x14ac:dyDescent="0.35">
      <c r="A20" s="90">
        <v>17</v>
      </c>
      <c r="B20" s="10" t="s">
        <v>686</v>
      </c>
      <c r="C20" s="10" t="s">
        <v>188</v>
      </c>
      <c r="D20" s="146"/>
      <c r="E20" s="146" t="s">
        <v>0</v>
      </c>
      <c r="F20" s="19" t="s">
        <v>26</v>
      </c>
      <c r="G20" s="193" t="s">
        <v>618</v>
      </c>
      <c r="H20" s="140" t="s">
        <v>652</v>
      </c>
      <c r="J20" s="176" t="b">
        <f>EXACT(G20,'Vh5205_C-95'!G20)</f>
        <v>1</v>
      </c>
    </row>
    <row r="21" spans="1:10" x14ac:dyDescent="0.35">
      <c r="A21" s="90">
        <v>18</v>
      </c>
      <c r="B21" s="13" t="s">
        <v>686</v>
      </c>
      <c r="C21" s="13" t="s">
        <v>131</v>
      </c>
      <c r="D21" s="87"/>
      <c r="E21" s="87"/>
      <c r="F21" s="22" t="s">
        <v>79</v>
      </c>
      <c r="G21" s="196"/>
      <c r="H21" s="182"/>
      <c r="J21" s="1" t="b">
        <f>EXACT(G21,'Vh5205_C-95'!G21)</f>
        <v>1</v>
      </c>
    </row>
    <row r="22" spans="1:10" x14ac:dyDescent="0.35">
      <c r="A22" s="90">
        <v>19</v>
      </c>
      <c r="B22" s="146" t="s">
        <v>687</v>
      </c>
      <c r="C22" s="146" t="s">
        <v>65</v>
      </c>
      <c r="D22" s="146"/>
      <c r="E22" s="146"/>
      <c r="F22" s="19" t="s">
        <v>79</v>
      </c>
      <c r="G22" s="192" t="s">
        <v>48</v>
      </c>
      <c r="H22" s="53" t="s">
        <v>652</v>
      </c>
      <c r="J22" s="176" t="b">
        <f>EXACT(G22,'Vh5205_C-95'!G22)</f>
        <v>1</v>
      </c>
    </row>
    <row r="23" spans="1:10" x14ac:dyDescent="0.35">
      <c r="A23" s="90">
        <v>20</v>
      </c>
      <c r="B23" s="146" t="s">
        <v>687</v>
      </c>
      <c r="C23" s="146" t="s">
        <v>69</v>
      </c>
      <c r="D23" s="146"/>
      <c r="E23" s="146"/>
      <c r="F23" s="19" t="s">
        <v>79</v>
      </c>
      <c r="G23" s="161"/>
      <c r="H23" s="140"/>
      <c r="J23" s="1" t="b">
        <f>EXACT(G23,'Vh5205_C-95'!G23)</f>
        <v>1</v>
      </c>
    </row>
    <row r="24" spans="1:10" x14ac:dyDescent="0.35">
      <c r="A24" s="90">
        <v>21</v>
      </c>
      <c r="B24" s="146" t="s">
        <v>687</v>
      </c>
      <c r="C24" s="146" t="s">
        <v>70</v>
      </c>
      <c r="D24" s="146"/>
      <c r="E24" s="146"/>
      <c r="F24" s="19" t="s">
        <v>79</v>
      </c>
      <c r="G24" s="161"/>
      <c r="H24" s="140"/>
      <c r="J24" s="1" t="b">
        <f>EXACT(G24,'Vh5205_C-95'!G24)</f>
        <v>1</v>
      </c>
    </row>
    <row r="25" spans="1:10" x14ac:dyDescent="0.35">
      <c r="A25" s="90">
        <v>22</v>
      </c>
      <c r="B25" s="146" t="s">
        <v>687</v>
      </c>
      <c r="C25" s="146" t="s">
        <v>71</v>
      </c>
      <c r="D25" s="146"/>
      <c r="E25" s="146"/>
      <c r="F25" s="19" t="s">
        <v>79</v>
      </c>
      <c r="G25" s="161"/>
      <c r="H25" s="140"/>
      <c r="J25" s="1" t="b">
        <f>EXACT(G25,'Vh5205_C-95'!G25)</f>
        <v>1</v>
      </c>
    </row>
    <row r="26" spans="1:10" x14ac:dyDescent="0.35">
      <c r="A26" s="90">
        <v>23</v>
      </c>
      <c r="B26" s="146" t="s">
        <v>687</v>
      </c>
      <c r="C26" s="146" t="s">
        <v>72</v>
      </c>
      <c r="D26" s="146"/>
      <c r="E26" s="146"/>
      <c r="F26" s="19" t="s">
        <v>79</v>
      </c>
      <c r="G26" s="161"/>
      <c r="H26" s="140"/>
      <c r="J26" s="1" t="b">
        <f>EXACT(G26,'Vh5205_C-95'!G26)</f>
        <v>1</v>
      </c>
    </row>
    <row r="27" spans="1:10" x14ac:dyDescent="0.35">
      <c r="A27" s="90">
        <v>24</v>
      </c>
      <c r="B27" s="146" t="s">
        <v>687</v>
      </c>
      <c r="C27" s="146" t="s">
        <v>81</v>
      </c>
      <c r="D27" s="146"/>
      <c r="E27" s="146"/>
      <c r="F27" s="19" t="s">
        <v>79</v>
      </c>
      <c r="G27" s="161"/>
      <c r="H27" s="140"/>
      <c r="J27" s="1" t="b">
        <f>EXACT(G27,'Vh5205_C-95'!G27)</f>
        <v>1</v>
      </c>
    </row>
    <row r="28" spans="1:10" x14ac:dyDescent="0.35">
      <c r="A28" s="90">
        <v>25</v>
      </c>
      <c r="B28" s="146" t="s">
        <v>687</v>
      </c>
      <c r="C28" s="146" t="s">
        <v>82</v>
      </c>
      <c r="D28" s="146"/>
      <c r="E28" s="146"/>
      <c r="F28" s="22" t="s">
        <v>79</v>
      </c>
      <c r="G28" s="196"/>
      <c r="H28" s="182"/>
      <c r="J28" s="1" t="b">
        <f>EXACT(G28,'Vh5205_C-95'!G28)</f>
        <v>1</v>
      </c>
    </row>
    <row r="29" spans="1:10" x14ac:dyDescent="0.35">
      <c r="A29" s="90">
        <v>26</v>
      </c>
      <c r="B29" s="99" t="s">
        <v>688</v>
      </c>
      <c r="C29" s="99" t="s">
        <v>312</v>
      </c>
      <c r="D29" s="100"/>
      <c r="E29" s="100"/>
      <c r="F29" s="18" t="s">
        <v>26</v>
      </c>
      <c r="G29" s="196" t="s">
        <v>200</v>
      </c>
      <c r="H29" s="182" t="s">
        <v>652</v>
      </c>
      <c r="J29" s="176" t="b">
        <f>EXACT(G29,'Vh5205_C-95'!G29)</f>
        <v>1</v>
      </c>
    </row>
    <row r="30" spans="1:10" x14ac:dyDescent="0.35">
      <c r="A30" s="90">
        <v>27</v>
      </c>
      <c r="B30" s="102" t="s">
        <v>689</v>
      </c>
      <c r="C30" s="102" t="s">
        <v>147</v>
      </c>
      <c r="D30" s="100"/>
      <c r="E30" s="100"/>
      <c r="F30" s="18" t="s">
        <v>79</v>
      </c>
      <c r="G30" s="161"/>
      <c r="H30" s="140"/>
      <c r="J30" s="1" t="b">
        <f>EXACT(G30,'Vh5205_C-95'!G30)</f>
        <v>1</v>
      </c>
    </row>
    <row r="31" spans="1:10" s="7" customFormat="1" ht="31" x14ac:dyDescent="0.35">
      <c r="A31" s="90">
        <v>28</v>
      </c>
      <c r="B31" s="10" t="s">
        <v>689</v>
      </c>
      <c r="C31" s="10" t="s">
        <v>324</v>
      </c>
      <c r="D31" s="146"/>
      <c r="E31" s="10"/>
      <c r="F31" s="19" t="s">
        <v>26</v>
      </c>
      <c r="G31" s="161" t="s">
        <v>460</v>
      </c>
      <c r="H31" s="177" t="s">
        <v>652</v>
      </c>
      <c r="J31" s="176" t="b">
        <f>EXACT(G31,'Vh5205_C-95'!G31)</f>
        <v>1</v>
      </c>
    </row>
    <row r="32" spans="1:10" s="7" customFormat="1" x14ac:dyDescent="0.35">
      <c r="A32" s="90">
        <v>29</v>
      </c>
      <c r="B32" s="10" t="s">
        <v>689</v>
      </c>
      <c r="C32" s="10" t="s">
        <v>303</v>
      </c>
      <c r="D32" s="146"/>
      <c r="E32" s="10"/>
      <c r="F32" s="19" t="s">
        <v>26</v>
      </c>
      <c r="G32" s="161" t="s">
        <v>461</v>
      </c>
      <c r="H32" s="177" t="s">
        <v>652</v>
      </c>
      <c r="J32" s="176" t="b">
        <f>EXACT(G32,'Vh5205_C-95'!G32)</f>
        <v>1</v>
      </c>
    </row>
    <row r="33" spans="1:10" ht="31" x14ac:dyDescent="0.35">
      <c r="A33" s="90">
        <v>30</v>
      </c>
      <c r="B33" s="10" t="s">
        <v>689</v>
      </c>
      <c r="C33" s="10" t="s">
        <v>304</v>
      </c>
      <c r="D33" s="146"/>
      <c r="E33" s="146"/>
      <c r="F33" s="19" t="s">
        <v>79</v>
      </c>
      <c r="G33" s="161" t="s">
        <v>285</v>
      </c>
      <c r="H33" s="140" t="s">
        <v>652</v>
      </c>
      <c r="J33" s="176" t="b">
        <f>EXACT(G33,'Vh5205_C-95'!G33)</f>
        <v>1</v>
      </c>
    </row>
    <row r="34" spans="1:10" x14ac:dyDescent="0.35">
      <c r="A34" s="90">
        <v>31</v>
      </c>
      <c r="B34" s="10" t="s">
        <v>689</v>
      </c>
      <c r="C34" s="10" t="s">
        <v>83</v>
      </c>
      <c r="D34" s="146"/>
      <c r="E34" s="146" t="s">
        <v>85</v>
      </c>
      <c r="F34" s="19" t="s">
        <v>79</v>
      </c>
      <c r="G34" s="192"/>
      <c r="H34" s="140"/>
      <c r="J34" s="1" t="b">
        <f>EXACT(G34,'Vh5205_C-95'!G34)</f>
        <v>1</v>
      </c>
    </row>
    <row r="35" spans="1:10" x14ac:dyDescent="0.35">
      <c r="A35" s="90">
        <v>32</v>
      </c>
      <c r="B35" s="10" t="s">
        <v>689</v>
      </c>
      <c r="C35" s="10" t="s">
        <v>84</v>
      </c>
      <c r="D35" s="146"/>
      <c r="E35" s="146"/>
      <c r="F35" s="19" t="s">
        <v>79</v>
      </c>
      <c r="G35" s="192"/>
      <c r="H35" s="140"/>
      <c r="J35" s="1" t="b">
        <f>EXACT(G35,'Vh5205_C-95'!G35)</f>
        <v>1</v>
      </c>
    </row>
    <row r="36" spans="1:10" x14ac:dyDescent="0.35">
      <c r="A36" s="90">
        <v>33</v>
      </c>
      <c r="B36" s="10" t="s">
        <v>689</v>
      </c>
      <c r="C36" s="10" t="s">
        <v>61</v>
      </c>
      <c r="D36" s="146"/>
      <c r="E36" s="146"/>
      <c r="F36" s="19" t="s">
        <v>26</v>
      </c>
      <c r="G36" s="192" t="s">
        <v>611</v>
      </c>
      <c r="H36" s="140" t="s">
        <v>652</v>
      </c>
      <c r="J36" s="176" t="b">
        <f>EXACT(G36,'Vh5205_C-95'!G36)</f>
        <v>1</v>
      </c>
    </row>
    <row r="37" spans="1:10" x14ac:dyDescent="0.35">
      <c r="A37" s="90">
        <v>34</v>
      </c>
      <c r="B37" s="13" t="s">
        <v>689</v>
      </c>
      <c r="C37" s="13" t="s">
        <v>56</v>
      </c>
      <c r="D37" s="146"/>
      <c r="E37" s="146"/>
      <c r="F37" s="22" t="s">
        <v>26</v>
      </c>
      <c r="G37" s="194" t="s">
        <v>201</v>
      </c>
      <c r="H37" s="182" t="s">
        <v>652</v>
      </c>
      <c r="J37" s="176" t="b">
        <f>EXACT(G37,'Vh5205_C-95'!G37)</f>
        <v>1</v>
      </c>
    </row>
    <row r="38" spans="1:10" s="7" customFormat="1" x14ac:dyDescent="0.35">
      <c r="A38" s="90">
        <v>35</v>
      </c>
      <c r="B38" s="10" t="s">
        <v>690</v>
      </c>
      <c r="C38" s="10" t="s">
        <v>77</v>
      </c>
      <c r="D38" s="100"/>
      <c r="E38" s="102"/>
      <c r="F38" s="19" t="s">
        <v>26</v>
      </c>
      <c r="G38" s="161" t="s">
        <v>278</v>
      </c>
      <c r="H38" s="177" t="s">
        <v>652</v>
      </c>
      <c r="J38" s="176" t="b">
        <f>EXACT(G38,'Vh5205_C-95'!G38)</f>
        <v>1</v>
      </c>
    </row>
    <row r="39" spans="1:10" s="7" customFormat="1" ht="55" customHeight="1" x14ac:dyDescent="0.35">
      <c r="A39" s="90">
        <v>36</v>
      </c>
      <c r="B39" s="10" t="s">
        <v>690</v>
      </c>
      <c r="C39" s="10" t="s">
        <v>560</v>
      </c>
      <c r="D39" s="146"/>
      <c r="E39" s="10"/>
      <c r="F39" s="19" t="s">
        <v>26</v>
      </c>
      <c r="G39" s="161" t="s">
        <v>716</v>
      </c>
      <c r="H39" s="177" t="s">
        <v>652</v>
      </c>
      <c r="J39" s="176" t="b">
        <f>EXACT(G39,'Vh5205_C-95'!G39)</f>
        <v>1</v>
      </c>
    </row>
    <row r="40" spans="1:10" s="7" customFormat="1" ht="31" x14ac:dyDescent="0.35">
      <c r="A40" s="90">
        <v>37</v>
      </c>
      <c r="B40" s="10" t="s">
        <v>690</v>
      </c>
      <c r="C40" s="10" t="s">
        <v>305</v>
      </c>
      <c r="D40" s="146"/>
      <c r="E40" s="10"/>
      <c r="F40" s="19" t="s">
        <v>26</v>
      </c>
      <c r="G40" s="161" t="s">
        <v>619</v>
      </c>
      <c r="H40" s="177" t="s">
        <v>652</v>
      </c>
      <c r="J40" s="176" t="b">
        <f>EXACT(G40,'Vh5205_C-95'!G40)</f>
        <v>1</v>
      </c>
    </row>
    <row r="41" spans="1:10" s="7" customFormat="1" x14ac:dyDescent="0.35">
      <c r="A41" s="90">
        <v>38</v>
      </c>
      <c r="B41" s="10" t="s">
        <v>690</v>
      </c>
      <c r="C41" s="10" t="s">
        <v>128</v>
      </c>
      <c r="D41" s="146"/>
      <c r="E41" s="10"/>
      <c r="F41" s="19" t="s">
        <v>26</v>
      </c>
      <c r="G41" s="195">
        <v>35458</v>
      </c>
      <c r="H41" s="177" t="s">
        <v>652</v>
      </c>
      <c r="J41" s="176" t="b">
        <f>EXACT(G41,'Vh5205_C-95'!G41)</f>
        <v>1</v>
      </c>
    </row>
    <row r="42" spans="1:10" s="7" customFormat="1" x14ac:dyDescent="0.35">
      <c r="A42" s="90">
        <v>39</v>
      </c>
      <c r="B42" s="10" t="s">
        <v>690</v>
      </c>
      <c r="C42" s="10" t="s">
        <v>129</v>
      </c>
      <c r="D42" s="146"/>
      <c r="E42" s="10"/>
      <c r="F42" s="19" t="s">
        <v>79</v>
      </c>
      <c r="G42" s="192"/>
      <c r="H42" s="177" t="s">
        <v>652</v>
      </c>
      <c r="J42" s="176" t="b">
        <f>EXACT(G42,'Vh5205_C-95'!G42)</f>
        <v>1</v>
      </c>
    </row>
    <row r="43" spans="1:10" s="7" customFormat="1" x14ac:dyDescent="0.35">
      <c r="A43" s="90">
        <v>40</v>
      </c>
      <c r="B43" s="13" t="s">
        <v>690</v>
      </c>
      <c r="C43" s="13" t="s">
        <v>130</v>
      </c>
      <c r="D43" s="87"/>
      <c r="E43" s="13"/>
      <c r="F43" s="22" t="s">
        <v>79</v>
      </c>
      <c r="G43" s="194"/>
      <c r="H43" s="180" t="s">
        <v>652</v>
      </c>
      <c r="J43" s="176" t="b">
        <f>EXACT(G43,'Vh5205_C-95'!G43)</f>
        <v>1</v>
      </c>
    </row>
    <row r="44" spans="1:10" x14ac:dyDescent="0.35">
      <c r="A44" s="90">
        <v>41</v>
      </c>
      <c r="B44" s="102" t="s">
        <v>691</v>
      </c>
      <c r="C44" s="102" t="s">
        <v>117</v>
      </c>
      <c r="D44" s="100"/>
      <c r="E44" s="100"/>
      <c r="F44" s="18" t="s">
        <v>26</v>
      </c>
      <c r="G44" s="161" t="s">
        <v>462</v>
      </c>
      <c r="H44" s="177" t="s">
        <v>652</v>
      </c>
      <c r="J44" s="176" t="b">
        <f>EXACT(G44,'Vh5205_C-95'!G44)</f>
        <v>1</v>
      </c>
    </row>
    <row r="45" spans="1:10" s="7" customFormat="1" x14ac:dyDescent="0.35">
      <c r="A45" s="90">
        <v>42</v>
      </c>
      <c r="B45" s="10" t="s">
        <v>691</v>
      </c>
      <c r="C45" s="10" t="s">
        <v>87</v>
      </c>
      <c r="D45" s="146"/>
      <c r="E45" s="10"/>
      <c r="F45" s="19" t="s">
        <v>79</v>
      </c>
      <c r="G45" s="192" t="s">
        <v>196</v>
      </c>
      <c r="H45" s="177" t="s">
        <v>652</v>
      </c>
      <c r="J45" s="176" t="b">
        <f>EXACT(G45,'Vh5205_C-95'!G45)</f>
        <v>1</v>
      </c>
    </row>
    <row r="46" spans="1:10" s="7" customFormat="1" x14ac:dyDescent="0.35">
      <c r="A46" s="90">
        <v>43</v>
      </c>
      <c r="B46" s="10" t="s">
        <v>691</v>
      </c>
      <c r="C46" s="10" t="s">
        <v>88</v>
      </c>
      <c r="D46" s="146"/>
      <c r="E46" s="10"/>
      <c r="F46" s="19" t="s">
        <v>79</v>
      </c>
      <c r="G46" s="192" t="s">
        <v>196</v>
      </c>
      <c r="H46" s="177" t="s">
        <v>652</v>
      </c>
      <c r="J46" s="176" t="b">
        <f>EXACT(G46,'Vh5205_C-95'!G46)</f>
        <v>1</v>
      </c>
    </row>
    <row r="47" spans="1:10" s="7" customFormat="1" x14ac:dyDescent="0.35">
      <c r="A47" s="90">
        <v>44</v>
      </c>
      <c r="B47" s="10" t="s">
        <v>691</v>
      </c>
      <c r="C47" s="10" t="s">
        <v>60</v>
      </c>
      <c r="D47" s="146"/>
      <c r="E47" s="10"/>
      <c r="F47" s="19" t="s">
        <v>79</v>
      </c>
      <c r="G47" s="192" t="s">
        <v>500</v>
      </c>
      <c r="H47" s="177" t="s">
        <v>652</v>
      </c>
      <c r="J47" s="176" t="b">
        <f>EXACT(G47,'Vh5205_C-95'!G47)</f>
        <v>1</v>
      </c>
    </row>
    <row r="48" spans="1:10" x14ac:dyDescent="0.35">
      <c r="A48" s="90">
        <v>45</v>
      </c>
      <c r="B48" s="10" t="s">
        <v>691</v>
      </c>
      <c r="C48" s="10" t="s">
        <v>90</v>
      </c>
      <c r="D48" s="146"/>
      <c r="E48" s="146"/>
      <c r="F48" s="19" t="s">
        <v>26</v>
      </c>
      <c r="G48" s="161" t="s">
        <v>649</v>
      </c>
      <c r="H48" s="177" t="s">
        <v>652</v>
      </c>
      <c r="J48" s="176" t="b">
        <f>EXACT(G48,'Vh5205_C-95'!G48)</f>
        <v>1</v>
      </c>
    </row>
    <row r="49" spans="1:10" x14ac:dyDescent="0.35">
      <c r="A49" s="90">
        <v>46</v>
      </c>
      <c r="B49" s="10" t="s">
        <v>691</v>
      </c>
      <c r="C49" s="10" t="s">
        <v>91</v>
      </c>
      <c r="D49" s="146"/>
      <c r="E49" s="146"/>
      <c r="F49" s="19" t="s">
        <v>26</v>
      </c>
      <c r="G49" s="161" t="s">
        <v>649</v>
      </c>
      <c r="H49" s="177" t="s">
        <v>652</v>
      </c>
      <c r="J49" s="176" t="b">
        <f>EXACT(G49,'Vh5205_C-95'!G49)</f>
        <v>1</v>
      </c>
    </row>
    <row r="50" spans="1:10" x14ac:dyDescent="0.35">
      <c r="A50" s="90">
        <v>47</v>
      </c>
      <c r="B50" s="13" t="s">
        <v>691</v>
      </c>
      <c r="C50" s="13" t="s">
        <v>86</v>
      </c>
      <c r="D50" s="87"/>
      <c r="E50" s="87"/>
      <c r="F50" s="22" t="s">
        <v>79</v>
      </c>
      <c r="G50" s="194"/>
      <c r="H50" s="180"/>
      <c r="J50" s="1" t="b">
        <f>EXACT(G50,'Vh5205_C-95'!G50)</f>
        <v>1</v>
      </c>
    </row>
    <row r="51" spans="1:10" s="7" customFormat="1" x14ac:dyDescent="0.35">
      <c r="A51" s="90">
        <v>48</v>
      </c>
      <c r="B51" s="10" t="s">
        <v>692</v>
      </c>
      <c r="C51" s="10" t="s">
        <v>95</v>
      </c>
      <c r="D51" s="146"/>
      <c r="E51" s="10" t="s">
        <v>92</v>
      </c>
      <c r="F51" s="19" t="s">
        <v>26</v>
      </c>
      <c r="G51" s="161" t="s">
        <v>680</v>
      </c>
      <c r="H51" s="177" t="s">
        <v>652</v>
      </c>
      <c r="J51" s="176" t="b">
        <f>EXACT(G51,'Vh5205_C-95'!G51)</f>
        <v>1</v>
      </c>
    </row>
    <row r="52" spans="1:10" s="7" customFormat="1" x14ac:dyDescent="0.35">
      <c r="A52" s="90">
        <v>49</v>
      </c>
      <c r="B52" s="10" t="s">
        <v>692</v>
      </c>
      <c r="C52" s="10" t="s">
        <v>96</v>
      </c>
      <c r="D52" s="146"/>
      <c r="E52" s="10" t="s">
        <v>92</v>
      </c>
      <c r="F52" s="19" t="s">
        <v>26</v>
      </c>
      <c r="G52" s="161" t="s">
        <v>681</v>
      </c>
      <c r="H52" s="177" t="s">
        <v>652</v>
      </c>
      <c r="J52" s="176" t="b">
        <f>EXACT(G52,'Vh5205_C-95'!G52)</f>
        <v>1</v>
      </c>
    </row>
    <row r="53" spans="1:10" s="7" customFormat="1" x14ac:dyDescent="0.35">
      <c r="A53" s="90">
        <v>50</v>
      </c>
      <c r="B53" s="10" t="s">
        <v>692</v>
      </c>
      <c r="C53" s="10" t="s">
        <v>149</v>
      </c>
      <c r="D53" s="146"/>
      <c r="E53" s="10"/>
      <c r="F53" s="19" t="s">
        <v>26</v>
      </c>
      <c r="G53" s="161" t="s">
        <v>681</v>
      </c>
      <c r="H53" s="177" t="s">
        <v>652</v>
      </c>
      <c r="J53" s="176" t="b">
        <f>EXACT(G53,'Vh5205_C-95'!G53)</f>
        <v>1</v>
      </c>
    </row>
    <row r="54" spans="1:10" s="7" customFormat="1" x14ac:dyDescent="0.35">
      <c r="A54" s="90">
        <v>51</v>
      </c>
      <c r="B54" s="10" t="s">
        <v>692</v>
      </c>
      <c r="C54" s="10" t="s">
        <v>148</v>
      </c>
      <c r="D54" s="10"/>
      <c r="E54" s="10"/>
      <c r="F54" s="19" t="s">
        <v>79</v>
      </c>
      <c r="G54" s="161" t="s">
        <v>467</v>
      </c>
      <c r="H54" s="177" t="s">
        <v>652</v>
      </c>
      <c r="J54" s="176" t="b">
        <f>EXACT(G54,'Vh5205_C-95'!G54)</f>
        <v>1</v>
      </c>
    </row>
    <row r="55" spans="1:10" s="7" customFormat="1" x14ac:dyDescent="0.35">
      <c r="A55" s="90">
        <v>52</v>
      </c>
      <c r="B55" s="10" t="s">
        <v>692</v>
      </c>
      <c r="C55" s="10" t="s">
        <v>100</v>
      </c>
      <c r="D55" s="146"/>
      <c r="E55" s="10"/>
      <c r="F55" s="19" t="s">
        <v>79</v>
      </c>
      <c r="G55" s="192"/>
      <c r="H55" s="177"/>
      <c r="J55" s="1" t="b">
        <f>EXACT(G55,'Vh5205_C-95'!G55)</f>
        <v>1</v>
      </c>
    </row>
    <row r="56" spans="1:10" s="7" customFormat="1" x14ac:dyDescent="0.35">
      <c r="A56" s="90">
        <v>53</v>
      </c>
      <c r="B56" s="13" t="s">
        <v>692</v>
      </c>
      <c r="C56" s="13" t="s">
        <v>101</v>
      </c>
      <c r="D56" s="87"/>
      <c r="E56" s="13"/>
      <c r="F56" s="22" t="s">
        <v>79</v>
      </c>
      <c r="G56" s="194"/>
      <c r="H56" s="180"/>
      <c r="J56" s="1" t="b">
        <f>EXACT(G56,'Vh5205_C-95'!G56)</f>
        <v>1</v>
      </c>
    </row>
    <row r="57" spans="1:10" s="7" customFormat="1" x14ac:dyDescent="0.35">
      <c r="A57" s="90">
        <v>54</v>
      </c>
      <c r="B57" s="102" t="s">
        <v>693</v>
      </c>
      <c r="C57" s="102" t="s">
        <v>93</v>
      </c>
      <c r="D57" s="146"/>
      <c r="E57" s="10"/>
      <c r="F57" s="19" t="s">
        <v>26</v>
      </c>
      <c r="G57" s="161" t="s">
        <v>483</v>
      </c>
      <c r="H57" s="177" t="s">
        <v>652</v>
      </c>
      <c r="J57" s="176" t="b">
        <f>EXACT(G57,'Vh5205_C-95'!G57)</f>
        <v>1</v>
      </c>
    </row>
    <row r="58" spans="1:10" s="7" customFormat="1" x14ac:dyDescent="0.35">
      <c r="A58" s="90">
        <v>55</v>
      </c>
      <c r="B58" s="10" t="s">
        <v>693</v>
      </c>
      <c r="C58" s="10" t="s">
        <v>104</v>
      </c>
      <c r="D58" s="146"/>
      <c r="E58" s="10" t="s">
        <v>51</v>
      </c>
      <c r="F58" s="19" t="s">
        <v>26</v>
      </c>
      <c r="G58" s="161" t="s">
        <v>524</v>
      </c>
      <c r="H58" s="177" t="s">
        <v>652</v>
      </c>
      <c r="J58" s="176" t="b">
        <f>EXACT(G58,'Vh5205_C-95'!G58)</f>
        <v>1</v>
      </c>
    </row>
    <row r="59" spans="1:10" s="7" customFormat="1" x14ac:dyDescent="0.35">
      <c r="A59" s="90">
        <v>56</v>
      </c>
      <c r="B59" s="104" t="s">
        <v>693</v>
      </c>
      <c r="C59" s="104" t="s">
        <v>418</v>
      </c>
      <c r="D59" s="104"/>
      <c r="E59" s="104"/>
      <c r="F59" s="19" t="s">
        <v>26</v>
      </c>
      <c r="G59" s="161" t="s">
        <v>524</v>
      </c>
      <c r="H59" s="177" t="s">
        <v>652</v>
      </c>
      <c r="J59" s="176" t="b">
        <f>EXACT(G59,'Vh5205_C-95'!G59)</f>
        <v>1</v>
      </c>
    </row>
    <row r="60" spans="1:10" s="7" customFormat="1" x14ac:dyDescent="0.35">
      <c r="A60" s="90">
        <v>57</v>
      </c>
      <c r="B60" s="10" t="s">
        <v>693</v>
      </c>
      <c r="C60" s="10" t="s">
        <v>103</v>
      </c>
      <c r="D60" s="146"/>
      <c r="E60" s="10"/>
      <c r="F60" s="19" t="s">
        <v>79</v>
      </c>
      <c r="G60" s="161" t="s">
        <v>524</v>
      </c>
      <c r="H60" s="177" t="s">
        <v>652</v>
      </c>
      <c r="J60" s="176" t="b">
        <f>EXACT(G60,'Vh5205_C-95'!G60)</f>
        <v>1</v>
      </c>
    </row>
    <row r="61" spans="1:10" s="7" customFormat="1" x14ac:dyDescent="0.35">
      <c r="A61" s="90">
        <v>58</v>
      </c>
      <c r="B61" s="10" t="s">
        <v>693</v>
      </c>
      <c r="C61" s="10" t="s">
        <v>125</v>
      </c>
      <c r="D61" s="146"/>
      <c r="E61" s="10" t="s">
        <v>1</v>
      </c>
      <c r="F61" s="19" t="s">
        <v>79</v>
      </c>
      <c r="G61" s="161"/>
      <c r="H61" s="177"/>
      <c r="J61" s="2" t="b">
        <f>EXACT(G61,'Vh5205_C-95'!G61)</f>
        <v>1</v>
      </c>
    </row>
    <row r="62" spans="1:10" s="7" customFormat="1" x14ac:dyDescent="0.35">
      <c r="A62" s="90">
        <v>59</v>
      </c>
      <c r="B62" s="10" t="s">
        <v>693</v>
      </c>
      <c r="C62" s="10" t="s">
        <v>62</v>
      </c>
      <c r="D62" s="146"/>
      <c r="E62" s="10" t="s">
        <v>51</v>
      </c>
      <c r="F62" s="19" t="s">
        <v>79</v>
      </c>
      <c r="G62" s="161"/>
      <c r="H62" s="177"/>
      <c r="J62" s="1" t="b">
        <f>EXACT(G62,'Vh5205_C-95'!G62)</f>
        <v>1</v>
      </c>
    </row>
    <row r="63" spans="1:10" s="7" customFormat="1" x14ac:dyDescent="0.35">
      <c r="A63" s="90">
        <v>60</v>
      </c>
      <c r="B63" s="10" t="s">
        <v>693</v>
      </c>
      <c r="C63" s="10" t="s">
        <v>63</v>
      </c>
      <c r="D63" s="146"/>
      <c r="E63" s="10" t="s">
        <v>51</v>
      </c>
      <c r="F63" s="19" t="s">
        <v>79</v>
      </c>
      <c r="G63" s="161"/>
      <c r="H63" s="177"/>
      <c r="J63" s="1" t="b">
        <f>EXACT(G63,'Vh5205_C-95'!G63)</f>
        <v>1</v>
      </c>
    </row>
    <row r="64" spans="1:10" s="7" customFormat="1" x14ac:dyDescent="0.35">
      <c r="A64" s="90">
        <v>61</v>
      </c>
      <c r="B64" s="10" t="s">
        <v>693</v>
      </c>
      <c r="C64" s="10" t="s">
        <v>126</v>
      </c>
      <c r="D64" s="146"/>
      <c r="E64" s="10"/>
      <c r="F64" s="19" t="s">
        <v>79</v>
      </c>
      <c r="G64" s="161"/>
      <c r="H64" s="177"/>
      <c r="J64" s="1" t="b">
        <f>EXACT(G64,'Vh5205_C-95'!G64)</f>
        <v>1</v>
      </c>
    </row>
    <row r="65" spans="1:10" s="7" customFormat="1" x14ac:dyDescent="0.35">
      <c r="A65" s="90">
        <v>62</v>
      </c>
      <c r="B65" s="10" t="s">
        <v>693</v>
      </c>
      <c r="C65" s="10" t="s">
        <v>52</v>
      </c>
      <c r="D65" s="146"/>
      <c r="E65" s="10"/>
      <c r="F65" s="19" t="s">
        <v>79</v>
      </c>
      <c r="G65" s="161"/>
      <c r="H65" s="177"/>
      <c r="J65" s="1" t="b">
        <f>EXACT(G65,'Vh5205_C-95'!G65)</f>
        <v>1</v>
      </c>
    </row>
    <row r="66" spans="1:10" s="7" customFormat="1" x14ac:dyDescent="0.35">
      <c r="A66" s="90">
        <v>63</v>
      </c>
      <c r="B66" s="10" t="s">
        <v>693</v>
      </c>
      <c r="C66" s="10" t="s">
        <v>189</v>
      </c>
      <c r="D66" s="146"/>
      <c r="E66" s="10"/>
      <c r="F66" s="19" t="s">
        <v>79</v>
      </c>
      <c r="G66" s="161" t="s">
        <v>682</v>
      </c>
      <c r="H66" s="177" t="s">
        <v>652</v>
      </c>
      <c r="J66" s="176" t="b">
        <f>EXACT(G66,'Vh5205_C-95'!G66)</f>
        <v>1</v>
      </c>
    </row>
    <row r="67" spans="1:10" s="7" customFormat="1" x14ac:dyDescent="0.35">
      <c r="A67" s="90">
        <v>64</v>
      </c>
      <c r="B67" s="10" t="s">
        <v>693</v>
      </c>
      <c r="C67" s="10" t="s">
        <v>190</v>
      </c>
      <c r="D67" s="146"/>
      <c r="E67" s="10"/>
      <c r="F67" s="19" t="s">
        <v>79</v>
      </c>
      <c r="G67" s="192"/>
      <c r="H67" s="177"/>
      <c r="J67" s="1" t="b">
        <f>EXACT(G67,'Vh5205_C-95'!G67)</f>
        <v>1</v>
      </c>
    </row>
    <row r="68" spans="1:10" s="7" customFormat="1" x14ac:dyDescent="0.35">
      <c r="A68" s="90">
        <v>65</v>
      </c>
      <c r="B68" s="10" t="s">
        <v>693</v>
      </c>
      <c r="C68" s="10" t="s">
        <v>382</v>
      </c>
      <c r="D68" s="146"/>
      <c r="E68" s="10"/>
      <c r="F68" s="19" t="s">
        <v>79</v>
      </c>
      <c r="G68" s="161" t="s">
        <v>620</v>
      </c>
      <c r="H68" s="177" t="s">
        <v>652</v>
      </c>
      <c r="J68" s="176" t="b">
        <f>EXACT(G68,'Vh5205_C-95'!G68)</f>
        <v>1</v>
      </c>
    </row>
    <row r="69" spans="1:10" s="7" customFormat="1" ht="31" x14ac:dyDescent="0.35">
      <c r="A69" s="90">
        <v>66</v>
      </c>
      <c r="B69" s="10" t="s">
        <v>693</v>
      </c>
      <c r="C69" s="10" t="s">
        <v>419</v>
      </c>
      <c r="D69" s="146"/>
      <c r="E69" s="10" t="s">
        <v>480</v>
      </c>
      <c r="F69" s="19" t="s">
        <v>26</v>
      </c>
      <c r="G69" s="161" t="s">
        <v>650</v>
      </c>
      <c r="H69" s="177" t="s">
        <v>652</v>
      </c>
      <c r="J69" s="176" t="b">
        <f>EXACT(G69,'Vh5205_C-95'!G69)</f>
        <v>1</v>
      </c>
    </row>
    <row r="70" spans="1:10" s="7" customFormat="1" ht="31" x14ac:dyDescent="0.35">
      <c r="A70" s="90">
        <v>67</v>
      </c>
      <c r="B70" s="104" t="s">
        <v>693</v>
      </c>
      <c r="C70" s="104" t="s">
        <v>420</v>
      </c>
      <c r="D70" s="104"/>
      <c r="E70" s="104"/>
      <c r="F70" s="19" t="s">
        <v>26</v>
      </c>
      <c r="G70" s="161" t="s">
        <v>717</v>
      </c>
      <c r="H70" s="177" t="s">
        <v>652</v>
      </c>
      <c r="J70" s="176" t="b">
        <f>EXACT(G70,'Vh5205_C-95'!G70)</f>
        <v>1</v>
      </c>
    </row>
    <row r="71" spans="1:10" s="7" customFormat="1" x14ac:dyDescent="0.35">
      <c r="A71" s="90">
        <v>68</v>
      </c>
      <c r="B71" s="104" t="s">
        <v>693</v>
      </c>
      <c r="C71" s="104" t="s">
        <v>421</v>
      </c>
      <c r="D71" s="107"/>
      <c r="E71" s="107"/>
      <c r="F71" s="22" t="s">
        <v>79</v>
      </c>
      <c r="G71" s="196"/>
      <c r="H71" s="180"/>
      <c r="J71" s="1" t="b">
        <f>EXACT(G71,'Vh5205_C-95'!G71)</f>
        <v>1</v>
      </c>
    </row>
    <row r="72" spans="1:10" s="7" customFormat="1" x14ac:dyDescent="0.35">
      <c r="A72" s="90">
        <v>69</v>
      </c>
      <c r="B72" s="102" t="s">
        <v>694</v>
      </c>
      <c r="C72" s="102" t="s">
        <v>422</v>
      </c>
      <c r="D72" s="10"/>
      <c r="E72" s="10"/>
      <c r="F72" s="19" t="s">
        <v>79</v>
      </c>
      <c r="G72" s="161"/>
      <c r="H72" s="177"/>
      <c r="J72" s="1" t="b">
        <f>EXACT(G72,'Vh5205_C-95'!G72)</f>
        <v>1</v>
      </c>
    </row>
    <row r="73" spans="1:10" s="7" customFormat="1" x14ac:dyDescent="0.35">
      <c r="A73" s="90">
        <v>70</v>
      </c>
      <c r="B73" s="13" t="s">
        <v>694</v>
      </c>
      <c r="C73" s="13" t="s">
        <v>102</v>
      </c>
      <c r="D73" s="87"/>
      <c r="E73" s="13"/>
      <c r="F73" s="22" t="s">
        <v>79</v>
      </c>
      <c r="G73" s="196"/>
      <c r="H73" s="180"/>
      <c r="J73" s="1" t="b">
        <f>EXACT(G73,'Vh5205_C-95'!G73)</f>
        <v>1</v>
      </c>
    </row>
    <row r="74" spans="1:10" s="7" customFormat="1" x14ac:dyDescent="0.35">
      <c r="A74" s="90">
        <v>71</v>
      </c>
      <c r="B74" s="10" t="s">
        <v>695</v>
      </c>
      <c r="C74" s="10" t="s">
        <v>127</v>
      </c>
      <c r="D74" s="146"/>
      <c r="E74" s="10" t="s">
        <v>4</v>
      </c>
      <c r="F74" s="19" t="s">
        <v>79</v>
      </c>
      <c r="G74" s="161"/>
      <c r="H74" s="177"/>
      <c r="J74" s="1" t="b">
        <f>EXACT(G74,'Vh5205_C-95'!G74)</f>
        <v>1</v>
      </c>
    </row>
    <row r="75" spans="1:10" s="7" customFormat="1" x14ac:dyDescent="0.35">
      <c r="A75" s="90">
        <v>72</v>
      </c>
      <c r="B75" s="10" t="s">
        <v>695</v>
      </c>
      <c r="C75" s="10" t="s">
        <v>298</v>
      </c>
      <c r="D75" s="146"/>
      <c r="E75" s="10" t="s">
        <v>4</v>
      </c>
      <c r="F75" s="19" t="s">
        <v>79</v>
      </c>
      <c r="G75" s="192" t="s">
        <v>655</v>
      </c>
      <c r="H75" s="177" t="s">
        <v>652</v>
      </c>
      <c r="J75" s="176" t="b">
        <f>EXACT(G75,'Vh5205_C-95'!G75)</f>
        <v>1</v>
      </c>
    </row>
    <row r="76" spans="1:10" s="7" customFormat="1" x14ac:dyDescent="0.35">
      <c r="A76" s="90">
        <v>73</v>
      </c>
      <c r="B76" s="10" t="s">
        <v>695</v>
      </c>
      <c r="C76" s="10" t="s">
        <v>115</v>
      </c>
      <c r="D76" s="146"/>
      <c r="E76" s="10"/>
      <c r="F76" s="22" t="s">
        <v>79</v>
      </c>
      <c r="G76" s="196"/>
      <c r="H76" s="180"/>
      <c r="J76" s="1" t="b">
        <f>EXACT(G76,'Vh5205_C-95'!G76)</f>
        <v>1</v>
      </c>
    </row>
    <row r="77" spans="1:10" x14ac:dyDescent="0.35">
      <c r="A77" s="90">
        <v>74</v>
      </c>
      <c r="B77" s="100" t="s">
        <v>696</v>
      </c>
      <c r="C77" s="100" t="s">
        <v>43</v>
      </c>
      <c r="D77" s="100"/>
      <c r="E77" s="100"/>
      <c r="F77" s="19" t="s">
        <v>79</v>
      </c>
      <c r="G77" s="161" t="s">
        <v>513</v>
      </c>
      <c r="H77" s="140"/>
      <c r="J77" s="1" t="b">
        <f>EXACT(G77,'Vh5205_C-95'!G77)</f>
        <v>0</v>
      </c>
    </row>
    <row r="78" spans="1:10" x14ac:dyDescent="0.35">
      <c r="A78" s="90">
        <v>75</v>
      </c>
      <c r="B78" s="146" t="s">
        <v>696</v>
      </c>
      <c r="C78" s="146" t="s">
        <v>114</v>
      </c>
      <c r="D78" s="146"/>
      <c r="E78" s="146"/>
      <c r="F78" s="19" t="s">
        <v>79</v>
      </c>
      <c r="G78" s="161"/>
      <c r="H78" s="140"/>
      <c r="J78" s="1" t="b">
        <f>EXACT(G78,'Vh5205_C-95'!G78)</f>
        <v>1</v>
      </c>
    </row>
    <row r="79" spans="1:10" x14ac:dyDescent="0.35">
      <c r="A79" s="90">
        <v>76</v>
      </c>
      <c r="B79" s="10" t="s">
        <v>696</v>
      </c>
      <c r="C79" s="10" t="s">
        <v>338</v>
      </c>
      <c r="D79" s="146"/>
      <c r="E79" s="146"/>
      <c r="F79" s="19" t="s">
        <v>79</v>
      </c>
      <c r="G79" s="192" t="s">
        <v>615</v>
      </c>
      <c r="H79" s="140" t="s">
        <v>652</v>
      </c>
      <c r="J79" s="176" t="b">
        <f>EXACT(G79,'Vh5205_C-95'!G79)</f>
        <v>1</v>
      </c>
    </row>
    <row r="80" spans="1:10" x14ac:dyDescent="0.35">
      <c r="A80" s="90">
        <v>77</v>
      </c>
      <c r="B80" s="10" t="s">
        <v>696</v>
      </c>
      <c r="C80" s="10" t="s">
        <v>150</v>
      </c>
      <c r="D80" s="146"/>
      <c r="E80" s="146"/>
      <c r="F80" s="19" t="s">
        <v>26</v>
      </c>
      <c r="G80" s="192" t="s">
        <v>612</v>
      </c>
      <c r="H80" s="140" t="s">
        <v>652</v>
      </c>
      <c r="J80" s="176" t="b">
        <f>EXACT(G80,'Vh5205_C-95'!G80)</f>
        <v>1</v>
      </c>
    </row>
    <row r="81" spans="1:10" x14ac:dyDescent="0.35">
      <c r="A81" s="90">
        <v>78</v>
      </c>
      <c r="B81" s="10" t="s">
        <v>696</v>
      </c>
      <c r="C81" s="10" t="s">
        <v>152</v>
      </c>
      <c r="D81" s="146"/>
      <c r="E81" s="146"/>
      <c r="F81" s="19" t="s">
        <v>26</v>
      </c>
      <c r="G81" s="192" t="s">
        <v>267</v>
      </c>
      <c r="H81" s="140" t="s">
        <v>652</v>
      </c>
      <c r="J81" s="176" t="b">
        <f>EXACT(G81,'Vh5205_C-95'!G81)</f>
        <v>1</v>
      </c>
    </row>
    <row r="82" spans="1:10" x14ac:dyDescent="0.35">
      <c r="A82" s="90">
        <v>79</v>
      </c>
      <c r="B82" s="10" t="s">
        <v>696</v>
      </c>
      <c r="C82" s="10" t="s">
        <v>153</v>
      </c>
      <c r="D82" s="146"/>
      <c r="E82" s="146"/>
      <c r="F82" s="19" t="s">
        <v>26</v>
      </c>
      <c r="G82" s="192" t="s">
        <v>268</v>
      </c>
      <c r="H82" s="140" t="s">
        <v>652</v>
      </c>
      <c r="J82" s="176" t="b">
        <f>EXACT(G82,'Vh5205_C-95'!G82)</f>
        <v>1</v>
      </c>
    </row>
    <row r="83" spans="1:10" ht="31" x14ac:dyDescent="0.35">
      <c r="A83" s="90">
        <v>80</v>
      </c>
      <c r="B83" s="10" t="s">
        <v>696</v>
      </c>
      <c r="C83" s="10" t="s">
        <v>9</v>
      </c>
      <c r="D83" s="146"/>
      <c r="E83" s="146"/>
      <c r="F83" s="19" t="s">
        <v>26</v>
      </c>
      <c r="G83" s="161" t="s">
        <v>715</v>
      </c>
      <c r="H83" s="140" t="s">
        <v>652</v>
      </c>
      <c r="J83" s="176" t="b">
        <f>EXACT(G83,'Vh5205_C-95'!G83)</f>
        <v>1</v>
      </c>
    </row>
    <row r="84" spans="1:10" x14ac:dyDescent="0.35">
      <c r="A84" s="90">
        <v>81</v>
      </c>
      <c r="B84" s="10" t="s">
        <v>696</v>
      </c>
      <c r="C84" s="10" t="s">
        <v>339</v>
      </c>
      <c r="D84" s="146"/>
      <c r="E84" s="146"/>
      <c r="F84" s="19" t="s">
        <v>26</v>
      </c>
      <c r="G84" s="161" t="s">
        <v>718</v>
      </c>
      <c r="H84" s="140" t="s">
        <v>652</v>
      </c>
      <c r="J84" s="176" t="b">
        <f>EXACT(G84,'Vh5205_C-95'!G84)</f>
        <v>1</v>
      </c>
    </row>
    <row r="85" spans="1:10" ht="31" x14ac:dyDescent="0.35">
      <c r="A85" s="90">
        <v>82</v>
      </c>
      <c r="B85" s="10" t="s">
        <v>696</v>
      </c>
      <c r="C85" s="10" t="s">
        <v>573</v>
      </c>
      <c r="D85" s="146"/>
      <c r="E85" s="146"/>
      <c r="F85" s="19" t="s">
        <v>26</v>
      </c>
      <c r="G85" s="161" t="s">
        <v>537</v>
      </c>
      <c r="H85" s="140" t="s">
        <v>652</v>
      </c>
      <c r="J85" s="176" t="b">
        <f>EXACT(G85,'Vh5205_C-95'!G85)</f>
        <v>1</v>
      </c>
    </row>
    <row r="86" spans="1:10" s="7" customFormat="1" ht="46.5" x14ac:dyDescent="0.35">
      <c r="A86" s="90">
        <v>83</v>
      </c>
      <c r="B86" s="13" t="s">
        <v>696</v>
      </c>
      <c r="C86" s="13" t="s">
        <v>133</v>
      </c>
      <c r="D86" s="87"/>
      <c r="E86" s="87" t="s">
        <v>51</v>
      </c>
      <c r="F86" s="22" t="s">
        <v>79</v>
      </c>
      <c r="G86" s="196" t="s">
        <v>651</v>
      </c>
      <c r="H86" s="182" t="s">
        <v>652</v>
      </c>
      <c r="J86" s="176" t="b">
        <f>EXACT(G86,'Vh5205_C-95'!G86)</f>
        <v>1</v>
      </c>
    </row>
    <row r="87" spans="1:10" x14ac:dyDescent="0.35">
      <c r="A87" s="90">
        <v>84</v>
      </c>
      <c r="B87" s="146" t="s">
        <v>697</v>
      </c>
      <c r="C87" s="146" t="s">
        <v>299</v>
      </c>
      <c r="D87" s="94"/>
      <c r="E87" s="146"/>
      <c r="F87" s="19" t="s">
        <v>79</v>
      </c>
      <c r="G87" s="204" t="s">
        <v>502</v>
      </c>
      <c r="H87" s="140" t="s">
        <v>652</v>
      </c>
      <c r="J87" s="176" t="b">
        <f>EXACT(G87,'Vh5205_C-95'!G87)</f>
        <v>1</v>
      </c>
    </row>
    <row r="88" spans="1:10" x14ac:dyDescent="0.35">
      <c r="A88" s="90">
        <v>85</v>
      </c>
      <c r="B88" s="10" t="s">
        <v>697</v>
      </c>
      <c r="C88" s="10" t="s">
        <v>300</v>
      </c>
      <c r="D88" s="94"/>
      <c r="E88" s="146"/>
      <c r="F88" s="19" t="s">
        <v>79</v>
      </c>
      <c r="G88" s="192" t="s">
        <v>617</v>
      </c>
      <c r="H88" s="140" t="s">
        <v>652</v>
      </c>
      <c r="J88" s="176" t="b">
        <f>EXACT(G88,'Vh5205_C-95'!G88)</f>
        <v>1</v>
      </c>
    </row>
    <row r="89" spans="1:10" x14ac:dyDescent="0.35">
      <c r="A89" s="90">
        <v>86</v>
      </c>
      <c r="B89" s="10" t="s">
        <v>697</v>
      </c>
      <c r="C89" s="10" t="s">
        <v>156</v>
      </c>
      <c r="D89" s="146"/>
      <c r="E89" s="146" t="s">
        <v>0</v>
      </c>
      <c r="F89" s="19" t="s">
        <v>79</v>
      </c>
      <c r="G89" s="192">
        <v>1</v>
      </c>
      <c r="H89" s="140" t="s">
        <v>652</v>
      </c>
      <c r="J89" s="176" t="b">
        <f>EXACT(G89,'Vh5205_C-95'!G89)</f>
        <v>1</v>
      </c>
    </row>
    <row r="90" spans="1:10" x14ac:dyDescent="0.35">
      <c r="A90" s="90">
        <v>87</v>
      </c>
      <c r="B90" s="10" t="s">
        <v>697</v>
      </c>
      <c r="C90" s="10" t="s">
        <v>132</v>
      </c>
      <c r="D90" s="146"/>
      <c r="E90" s="146" t="s">
        <v>0</v>
      </c>
      <c r="F90" s="19" t="s">
        <v>79</v>
      </c>
      <c r="G90" s="192">
        <v>20</v>
      </c>
      <c r="H90" s="140" t="s">
        <v>652</v>
      </c>
      <c r="J90" s="176" t="b">
        <f>EXACT(G90,'Vh5205_C-95'!G90)</f>
        <v>1</v>
      </c>
    </row>
    <row r="91" spans="1:10" s="7" customFormat="1" x14ac:dyDescent="0.35">
      <c r="A91" s="90">
        <v>88</v>
      </c>
      <c r="B91" s="10" t="s">
        <v>697</v>
      </c>
      <c r="C91" s="10" t="s">
        <v>343</v>
      </c>
      <c r="D91" s="146"/>
      <c r="E91" s="146"/>
      <c r="F91" s="20" t="s">
        <v>26</v>
      </c>
      <c r="G91" s="161" t="s">
        <v>625</v>
      </c>
      <c r="H91" s="140" t="s">
        <v>652</v>
      </c>
      <c r="J91" s="176" t="b">
        <f>EXACT(G91,'Vh5205_C-95'!G91)</f>
        <v>1</v>
      </c>
    </row>
    <row r="92" spans="1:10" s="7" customFormat="1" ht="31" x14ac:dyDescent="0.35">
      <c r="A92" s="90">
        <v>89</v>
      </c>
      <c r="B92" s="10" t="s">
        <v>697</v>
      </c>
      <c r="C92" s="10" t="s">
        <v>425</v>
      </c>
      <c r="D92" s="146"/>
      <c r="E92" s="146"/>
      <c r="F92" s="20" t="s">
        <v>26</v>
      </c>
      <c r="G92" s="161" t="s">
        <v>621</v>
      </c>
      <c r="H92" s="140" t="s">
        <v>652</v>
      </c>
      <c r="J92" s="176" t="b">
        <f>EXACT(G92,'Vh5205_C-95'!G92)</f>
        <v>1</v>
      </c>
    </row>
    <row r="93" spans="1:10" ht="31" x14ac:dyDescent="0.35">
      <c r="A93" s="90">
        <v>90</v>
      </c>
      <c r="B93" s="87" t="s">
        <v>697</v>
      </c>
      <c r="C93" s="87" t="s">
        <v>157</v>
      </c>
      <c r="D93" s="87"/>
      <c r="E93" s="87"/>
      <c r="F93" s="21" t="s">
        <v>26</v>
      </c>
      <c r="G93" s="196" t="s">
        <v>719</v>
      </c>
      <c r="H93" s="182" t="s">
        <v>652</v>
      </c>
      <c r="J93" s="176" t="b">
        <f>EXACT(G93,'Vh5205_C-95'!G93)</f>
        <v>1</v>
      </c>
    </row>
    <row r="94" spans="1:10" s="7" customFormat="1" x14ac:dyDescent="0.35">
      <c r="A94" s="90">
        <v>91</v>
      </c>
      <c r="B94" s="10" t="s">
        <v>698</v>
      </c>
      <c r="C94" s="10" t="s">
        <v>159</v>
      </c>
      <c r="D94" s="146"/>
      <c r="E94" s="146"/>
      <c r="F94" s="19" t="s">
        <v>79</v>
      </c>
      <c r="G94" s="197" t="s">
        <v>385</v>
      </c>
      <c r="H94" s="140" t="s">
        <v>652</v>
      </c>
      <c r="J94" s="176" t="b">
        <f>EXACT(G94,'Vh5205_C-95'!G94)</f>
        <v>1</v>
      </c>
    </row>
    <row r="95" spans="1:10" s="7" customFormat="1" x14ac:dyDescent="0.35">
      <c r="A95" s="90">
        <v>92</v>
      </c>
      <c r="B95" s="146" t="s">
        <v>698</v>
      </c>
      <c r="C95" s="146" t="s">
        <v>426</v>
      </c>
      <c r="D95" s="146"/>
      <c r="E95" s="146"/>
      <c r="F95" s="19" t="s">
        <v>79</v>
      </c>
      <c r="G95" s="205" t="s">
        <v>391</v>
      </c>
      <c r="H95" s="140" t="s">
        <v>652</v>
      </c>
      <c r="J95" s="176" t="b">
        <f>EXACT(G95,'Vh5205_C-95'!G95)</f>
        <v>1</v>
      </c>
    </row>
    <row r="96" spans="1:10" s="7" customFormat="1" x14ac:dyDescent="0.35">
      <c r="A96" s="90">
        <v>93</v>
      </c>
      <c r="B96" s="146" t="s">
        <v>698</v>
      </c>
      <c r="C96" s="146" t="s">
        <v>386</v>
      </c>
      <c r="D96" s="146"/>
      <c r="E96" s="146"/>
      <c r="F96" s="19" t="s">
        <v>26</v>
      </c>
      <c r="G96" s="198" t="s">
        <v>387</v>
      </c>
      <c r="H96" s="140" t="s">
        <v>652</v>
      </c>
      <c r="J96" s="176" t="b">
        <f>EXACT(G96,'Vh5205_C-95'!G96)</f>
        <v>1</v>
      </c>
    </row>
    <row r="97" spans="1:10" s="7" customFormat="1" x14ac:dyDescent="0.35">
      <c r="A97" s="90">
        <v>94</v>
      </c>
      <c r="B97" s="146" t="s">
        <v>698</v>
      </c>
      <c r="C97" s="146" t="s">
        <v>105</v>
      </c>
      <c r="D97" s="146"/>
      <c r="E97" s="146"/>
      <c r="F97" s="19" t="s">
        <v>26</v>
      </c>
      <c r="G97" s="161" t="s">
        <v>656</v>
      </c>
      <c r="H97" s="140" t="s">
        <v>652</v>
      </c>
      <c r="J97" s="176" t="b">
        <f>EXACT(G97,'Vh5205_C-95'!G97)</f>
        <v>1</v>
      </c>
    </row>
    <row r="98" spans="1:10" s="7" customFormat="1" x14ac:dyDescent="0.35">
      <c r="A98" s="90">
        <v>95</v>
      </c>
      <c r="B98" s="87" t="s">
        <v>698</v>
      </c>
      <c r="C98" s="87" t="s">
        <v>160</v>
      </c>
      <c r="D98" s="87"/>
      <c r="E98" s="87"/>
      <c r="F98" s="22" t="s">
        <v>79</v>
      </c>
      <c r="G98" s="194" t="s">
        <v>196</v>
      </c>
      <c r="H98" s="182" t="s">
        <v>652</v>
      </c>
      <c r="J98" s="176" t="b">
        <f>EXACT(G98,'Vh5205_C-95'!G98)</f>
        <v>1</v>
      </c>
    </row>
    <row r="99" spans="1:10" x14ac:dyDescent="0.35">
      <c r="A99" s="90">
        <v>96</v>
      </c>
      <c r="B99" s="10" t="s">
        <v>699</v>
      </c>
      <c r="C99" s="10" t="s">
        <v>428</v>
      </c>
      <c r="D99" s="146"/>
      <c r="E99" s="146"/>
      <c r="F99" s="20" t="s">
        <v>26</v>
      </c>
      <c r="G99" s="206" t="s">
        <v>196</v>
      </c>
      <c r="H99" s="140" t="s">
        <v>652</v>
      </c>
      <c r="J99" s="176" t="b">
        <f>EXACT(G99,'Vh5205_C-95'!G99)</f>
        <v>1</v>
      </c>
    </row>
    <row r="100" spans="1:10" x14ac:dyDescent="0.35">
      <c r="A100" s="90">
        <v>97</v>
      </c>
      <c r="B100" s="104" t="s">
        <v>699</v>
      </c>
      <c r="C100" s="104" t="s">
        <v>161</v>
      </c>
      <c r="D100" s="104"/>
      <c r="E100" s="104"/>
      <c r="F100" s="20" t="s">
        <v>79</v>
      </c>
      <c r="G100" s="192"/>
      <c r="H100" s="140"/>
      <c r="J100" s="1" t="b">
        <f>EXACT(G100,'Vh5205_C-95'!G100)</f>
        <v>1</v>
      </c>
    </row>
    <row r="101" spans="1:10" x14ac:dyDescent="0.35">
      <c r="A101" s="90">
        <v>98</v>
      </c>
      <c r="B101" s="104" t="s">
        <v>699</v>
      </c>
      <c r="C101" s="104" t="s">
        <v>272</v>
      </c>
      <c r="D101" s="104"/>
      <c r="E101" s="104"/>
      <c r="F101" s="20" t="s">
        <v>26</v>
      </c>
      <c r="G101" s="207">
        <v>44778</v>
      </c>
      <c r="H101" s="140" t="s">
        <v>652</v>
      </c>
      <c r="J101" s="176" t="b">
        <f>EXACT(G101,'Vh5205_C-95'!G101)</f>
        <v>1</v>
      </c>
    </row>
    <row r="102" spans="1:10" x14ac:dyDescent="0.35">
      <c r="A102" s="90">
        <v>99</v>
      </c>
      <c r="B102" s="104" t="s">
        <v>699</v>
      </c>
      <c r="C102" s="104" t="s">
        <v>271</v>
      </c>
      <c r="D102" s="104"/>
      <c r="E102" s="104"/>
      <c r="F102" s="20" t="s">
        <v>26</v>
      </c>
      <c r="G102" s="161" t="s">
        <v>503</v>
      </c>
      <c r="H102" s="140" t="s">
        <v>652</v>
      </c>
      <c r="J102" s="176" t="b">
        <f>EXACT(G102,'Vh5205_C-95'!G102)</f>
        <v>1</v>
      </c>
    </row>
    <row r="103" spans="1:10" x14ac:dyDescent="0.35">
      <c r="A103" s="90">
        <v>100</v>
      </c>
      <c r="B103" s="10" t="s">
        <v>699</v>
      </c>
      <c r="C103" s="10" t="s">
        <v>120</v>
      </c>
      <c r="D103" s="146"/>
      <c r="E103" s="146"/>
      <c r="F103" s="20" t="s">
        <v>26</v>
      </c>
      <c r="G103" s="192" t="s">
        <v>270</v>
      </c>
      <c r="H103" s="140" t="s">
        <v>652</v>
      </c>
      <c r="J103" s="176" t="b">
        <f>EXACT(G103,'Vh5205_C-95'!G103)</f>
        <v>1</v>
      </c>
    </row>
    <row r="104" spans="1:10" x14ac:dyDescent="0.35">
      <c r="A104" s="90">
        <v>101</v>
      </c>
      <c r="B104" s="10" t="s">
        <v>699</v>
      </c>
      <c r="C104" s="10" t="s">
        <v>119</v>
      </c>
      <c r="D104" s="146"/>
      <c r="E104" s="146"/>
      <c r="F104" s="20" t="s">
        <v>26</v>
      </c>
      <c r="G104" s="161">
        <v>1</v>
      </c>
      <c r="H104" s="140" t="s">
        <v>652</v>
      </c>
      <c r="J104" s="176" t="b">
        <f>EXACT(G104,'Vh5205_C-95'!G104)</f>
        <v>1</v>
      </c>
    </row>
    <row r="105" spans="1:10" x14ac:dyDescent="0.35">
      <c r="A105" s="90">
        <v>102</v>
      </c>
      <c r="B105" s="10" t="s">
        <v>699</v>
      </c>
      <c r="C105" s="10" t="s">
        <v>121</v>
      </c>
      <c r="D105" s="146"/>
      <c r="E105" s="146" t="s">
        <v>0</v>
      </c>
      <c r="F105" s="20" t="s">
        <v>26</v>
      </c>
      <c r="G105" s="161" t="s">
        <v>487</v>
      </c>
      <c r="H105" s="140" t="s">
        <v>652</v>
      </c>
      <c r="J105" s="176" t="b">
        <f>EXACT(G105,'Vh5205_C-95'!G105)</f>
        <v>1</v>
      </c>
    </row>
    <row r="106" spans="1:10" x14ac:dyDescent="0.35">
      <c r="A106" s="90">
        <v>103</v>
      </c>
      <c r="B106" s="13" t="s">
        <v>699</v>
      </c>
      <c r="C106" s="13" t="s">
        <v>430</v>
      </c>
      <c r="D106" s="87"/>
      <c r="E106" s="87"/>
      <c r="F106" s="22" t="s">
        <v>26</v>
      </c>
      <c r="G106" s="194" t="s">
        <v>196</v>
      </c>
      <c r="H106" s="182" t="s">
        <v>652</v>
      </c>
      <c r="J106" s="176" t="b">
        <f>EXACT(G106,'Vh5205_C-95'!G106)</f>
        <v>1</v>
      </c>
    </row>
    <row r="107" spans="1:10" x14ac:dyDescent="0.35">
      <c r="A107" s="90">
        <v>104</v>
      </c>
      <c r="B107" s="10" t="s">
        <v>700</v>
      </c>
      <c r="C107" s="10" t="s">
        <v>458</v>
      </c>
      <c r="D107" s="146"/>
      <c r="E107" s="146"/>
      <c r="F107" s="20" t="s">
        <v>26</v>
      </c>
      <c r="G107" s="197" t="s">
        <v>196</v>
      </c>
      <c r="H107" s="140" t="s">
        <v>652</v>
      </c>
      <c r="J107" s="176" t="b">
        <f>EXACT(G107,'Vh5205_C-95'!G107)</f>
        <v>1</v>
      </c>
    </row>
    <row r="108" spans="1:10" ht="31" x14ac:dyDescent="0.35">
      <c r="A108" s="90">
        <v>105</v>
      </c>
      <c r="B108" s="104" t="s">
        <v>700</v>
      </c>
      <c r="C108" s="104" t="s">
        <v>459</v>
      </c>
      <c r="D108" s="104"/>
      <c r="E108" s="104"/>
      <c r="F108" s="20" t="s">
        <v>26</v>
      </c>
      <c r="G108" s="161" t="s">
        <v>609</v>
      </c>
      <c r="H108" s="140" t="s">
        <v>652</v>
      </c>
      <c r="J108" s="176" t="b">
        <f>EXACT(G108,'Vh5205_C-95'!G108)</f>
        <v>1</v>
      </c>
    </row>
    <row r="109" spans="1:10" x14ac:dyDescent="0.35">
      <c r="A109" s="90">
        <v>106</v>
      </c>
      <c r="B109" s="104" t="s">
        <v>700</v>
      </c>
      <c r="C109" s="104" t="s">
        <v>161</v>
      </c>
      <c r="D109" s="104"/>
      <c r="E109" s="104"/>
      <c r="F109" s="20" t="s">
        <v>79</v>
      </c>
      <c r="G109" s="161" t="s">
        <v>539</v>
      </c>
      <c r="H109" s="140" t="s">
        <v>652</v>
      </c>
      <c r="J109" s="176" t="b">
        <f>EXACT(G109,'Vh5205_C-95'!G109)</f>
        <v>1</v>
      </c>
    </row>
    <row r="110" spans="1:10" x14ac:dyDescent="0.35">
      <c r="A110" s="90">
        <v>107</v>
      </c>
      <c r="B110" s="104" t="s">
        <v>700</v>
      </c>
      <c r="C110" s="104" t="s">
        <v>272</v>
      </c>
      <c r="D110" s="104"/>
      <c r="E110" s="104"/>
      <c r="F110" s="20" t="s">
        <v>26</v>
      </c>
      <c r="G110" s="207">
        <v>45098</v>
      </c>
      <c r="H110" s="140" t="s">
        <v>652</v>
      </c>
      <c r="J110" s="176" t="b">
        <f>EXACT(G110,'Vh5205_C-95'!G110)</f>
        <v>1</v>
      </c>
    </row>
    <row r="111" spans="1:10" x14ac:dyDescent="0.35">
      <c r="A111" s="90">
        <v>108</v>
      </c>
      <c r="B111" s="104" t="s">
        <v>700</v>
      </c>
      <c r="C111" s="104" t="s">
        <v>271</v>
      </c>
      <c r="D111" s="104"/>
      <c r="E111" s="104"/>
      <c r="F111" s="20" t="s">
        <v>26</v>
      </c>
      <c r="G111" s="192" t="s">
        <v>504</v>
      </c>
      <c r="H111" s="140" t="s">
        <v>652</v>
      </c>
      <c r="J111" s="176" t="b">
        <f>EXACT(G111,'Vh5205_C-95'!G111)</f>
        <v>1</v>
      </c>
    </row>
    <row r="112" spans="1:10" x14ac:dyDescent="0.35">
      <c r="A112" s="90">
        <v>109</v>
      </c>
      <c r="B112" s="10" t="s">
        <v>700</v>
      </c>
      <c r="C112" s="10" t="s">
        <v>120</v>
      </c>
      <c r="D112" s="146"/>
      <c r="E112" s="146"/>
      <c r="F112" s="20" t="s">
        <v>26</v>
      </c>
      <c r="G112" s="192" t="s">
        <v>524</v>
      </c>
      <c r="H112" s="140" t="s">
        <v>652</v>
      </c>
      <c r="J112" s="176" t="b">
        <f>EXACT(G112,'Vh5205_C-95'!G112)</f>
        <v>1</v>
      </c>
    </row>
    <row r="113" spans="1:10" x14ac:dyDescent="0.35">
      <c r="A113" s="90">
        <v>110</v>
      </c>
      <c r="B113" s="10" t="s">
        <v>700</v>
      </c>
      <c r="C113" s="10" t="s">
        <v>119</v>
      </c>
      <c r="D113" s="146"/>
      <c r="E113" s="146"/>
      <c r="F113" s="20" t="s">
        <v>26</v>
      </c>
      <c r="G113" s="192" t="s">
        <v>524</v>
      </c>
      <c r="H113" s="140" t="s">
        <v>652</v>
      </c>
      <c r="J113" s="176" t="b">
        <f>EXACT(G113,'Vh5205_C-95'!G113)</f>
        <v>1</v>
      </c>
    </row>
    <row r="114" spans="1:10" x14ac:dyDescent="0.35">
      <c r="A114" s="90">
        <v>111</v>
      </c>
      <c r="B114" s="13" t="s">
        <v>700</v>
      </c>
      <c r="C114" s="13" t="s">
        <v>121</v>
      </c>
      <c r="D114" s="87"/>
      <c r="E114" s="87" t="s">
        <v>0</v>
      </c>
      <c r="F114" s="21" t="s">
        <v>26</v>
      </c>
      <c r="G114" s="194" t="s">
        <v>505</v>
      </c>
      <c r="H114" s="182" t="s">
        <v>652</v>
      </c>
      <c r="J114" s="176" t="b">
        <f>EXACT(G114,'Vh5205_C-95'!G114)</f>
        <v>1</v>
      </c>
    </row>
    <row r="115" spans="1:10" x14ac:dyDescent="0.35">
      <c r="A115" s="90">
        <v>112</v>
      </c>
      <c r="B115" s="102" t="s">
        <v>701</v>
      </c>
      <c r="C115" s="102" t="s">
        <v>308</v>
      </c>
      <c r="D115" s="146"/>
      <c r="E115" s="146"/>
      <c r="F115" s="39" t="s">
        <v>26</v>
      </c>
      <c r="G115" s="197" t="s">
        <v>347</v>
      </c>
      <c r="H115" s="140" t="s">
        <v>652</v>
      </c>
      <c r="J115" s="176" t="b">
        <f>EXACT(G115,'Vh5205_C-95'!G115)</f>
        <v>1</v>
      </c>
    </row>
    <row r="116" spans="1:10" s="7" customFormat="1" x14ac:dyDescent="0.35">
      <c r="A116" s="90">
        <v>113</v>
      </c>
      <c r="B116" s="13" t="s">
        <v>701</v>
      </c>
      <c r="C116" s="13" t="s">
        <v>163</v>
      </c>
      <c r="D116" s="87"/>
      <c r="E116" s="87"/>
      <c r="F116" s="22" t="s">
        <v>26</v>
      </c>
      <c r="G116" s="194" t="s">
        <v>196</v>
      </c>
      <c r="H116" s="182" t="s">
        <v>652</v>
      </c>
      <c r="J116" s="176" t="b">
        <f>EXACT(G116,'Vh5205_C-95'!G116)</f>
        <v>1</v>
      </c>
    </row>
    <row r="117" spans="1:10" s="7" customFormat="1" x14ac:dyDescent="0.35">
      <c r="A117" s="90">
        <v>114</v>
      </c>
      <c r="B117" s="102" t="s">
        <v>702</v>
      </c>
      <c r="C117" s="102" t="s">
        <v>164</v>
      </c>
      <c r="D117" s="100"/>
      <c r="E117" s="100"/>
      <c r="F117" s="18" t="s">
        <v>26</v>
      </c>
      <c r="G117" s="206" t="s">
        <v>196</v>
      </c>
      <c r="H117" s="140" t="s">
        <v>652</v>
      </c>
      <c r="J117" s="176" t="b">
        <f>EXACT(G117,'Vh5205_C-95'!G117)</f>
        <v>1</v>
      </c>
    </row>
    <row r="118" spans="1:10" s="7" customFormat="1" x14ac:dyDescent="0.35">
      <c r="A118" s="90">
        <v>115</v>
      </c>
      <c r="B118" s="13" t="s">
        <v>702</v>
      </c>
      <c r="C118" s="13" t="s">
        <v>191</v>
      </c>
      <c r="D118" s="87"/>
      <c r="E118" s="87"/>
      <c r="F118" s="22" t="s">
        <v>79</v>
      </c>
      <c r="G118" s="194" t="s">
        <v>196</v>
      </c>
      <c r="H118" s="182" t="s">
        <v>652</v>
      </c>
      <c r="J118" s="176" t="b">
        <f>EXACT(G118,'Vh5205_C-95'!G118)</f>
        <v>1</v>
      </c>
    </row>
    <row r="119" spans="1:10" s="7" customFormat="1" x14ac:dyDescent="0.35">
      <c r="A119" s="90">
        <v>116</v>
      </c>
      <c r="B119" s="146" t="s">
        <v>703</v>
      </c>
      <c r="C119" s="146" t="s">
        <v>106</v>
      </c>
      <c r="D119" s="146"/>
      <c r="E119" s="146"/>
      <c r="F119" s="19" t="s">
        <v>26</v>
      </c>
      <c r="G119" s="197" t="s">
        <v>488</v>
      </c>
      <c r="H119" s="140" t="s">
        <v>652</v>
      </c>
      <c r="J119" s="176" t="b">
        <f>EXACT(G119,'Vh5205_C-95'!G119)</f>
        <v>1</v>
      </c>
    </row>
    <row r="120" spans="1:10" x14ac:dyDescent="0.35">
      <c r="A120" s="90">
        <v>117</v>
      </c>
      <c r="B120" s="146" t="s">
        <v>703</v>
      </c>
      <c r="C120" s="146" t="s">
        <v>434</v>
      </c>
      <c r="D120" s="5"/>
      <c r="E120" s="5"/>
      <c r="F120" s="19" t="s">
        <v>26</v>
      </c>
      <c r="G120" s="161" t="s">
        <v>506</v>
      </c>
      <c r="H120" s="140" t="s">
        <v>652</v>
      </c>
      <c r="J120" s="176" t="b">
        <f>EXACT(G120,'Vh5205_C-95'!G120)</f>
        <v>1</v>
      </c>
    </row>
    <row r="121" spans="1:10" ht="31" x14ac:dyDescent="0.35">
      <c r="A121" s="90">
        <v>118</v>
      </c>
      <c r="B121" s="87" t="s">
        <v>703</v>
      </c>
      <c r="C121" s="87" t="s">
        <v>350</v>
      </c>
      <c r="D121" s="93"/>
      <c r="E121" s="93"/>
      <c r="F121" s="22" t="s">
        <v>26</v>
      </c>
      <c r="G121" s="194" t="s">
        <v>196</v>
      </c>
      <c r="H121" s="182" t="s">
        <v>652</v>
      </c>
      <c r="J121" s="176" t="b">
        <f>EXACT(G121,'Vh5205_C-95'!G121)</f>
        <v>1</v>
      </c>
    </row>
    <row r="122" spans="1:10" x14ac:dyDescent="0.35">
      <c r="A122" s="90">
        <v>119</v>
      </c>
      <c r="B122" s="5" t="s">
        <v>704</v>
      </c>
      <c r="C122" s="5" t="s">
        <v>135</v>
      </c>
      <c r="D122" s="5"/>
      <c r="E122" s="5"/>
      <c r="F122" s="19" t="s">
        <v>26</v>
      </c>
      <c r="G122" s="206" t="s">
        <v>269</v>
      </c>
      <c r="H122" s="140" t="s">
        <v>652</v>
      </c>
      <c r="J122" s="176" t="b">
        <f>EXACT(G122,'Vh5205_C-95'!G122)</f>
        <v>1</v>
      </c>
    </row>
    <row r="123" spans="1:10" s="7" customFormat="1" ht="46.5" x14ac:dyDescent="0.35">
      <c r="A123" s="90">
        <v>120</v>
      </c>
      <c r="B123" s="146" t="s">
        <v>704</v>
      </c>
      <c r="C123" s="146" t="s">
        <v>316</v>
      </c>
      <c r="D123" s="146"/>
      <c r="E123" s="146"/>
      <c r="F123" s="19" t="s">
        <v>79</v>
      </c>
      <c r="G123" s="161" t="s">
        <v>528</v>
      </c>
      <c r="H123" s="177"/>
      <c r="J123" s="1" t="b">
        <f>EXACT(G123,'Vh5205_C-95'!G123)</f>
        <v>0</v>
      </c>
    </row>
    <row r="124" spans="1:10" x14ac:dyDescent="0.35">
      <c r="A124" s="90">
        <v>121</v>
      </c>
      <c r="B124" s="5" t="s">
        <v>704</v>
      </c>
      <c r="C124" s="5" t="s">
        <v>354</v>
      </c>
      <c r="D124" s="5"/>
      <c r="E124" s="5"/>
      <c r="F124" s="19" t="s">
        <v>26</v>
      </c>
      <c r="G124" s="161" t="s">
        <v>205</v>
      </c>
      <c r="H124" s="164" t="s">
        <v>652</v>
      </c>
      <c r="J124" s="176" t="b">
        <f>EXACT(G124,'Vh5205_C-95'!G124)</f>
        <v>1</v>
      </c>
    </row>
    <row r="125" spans="1:10" x14ac:dyDescent="0.35">
      <c r="A125" s="90">
        <v>122</v>
      </c>
      <c r="B125" s="5" t="s">
        <v>704</v>
      </c>
      <c r="C125" s="5" t="s">
        <v>139</v>
      </c>
      <c r="D125" s="5"/>
      <c r="E125" s="5" t="s">
        <v>2</v>
      </c>
      <c r="F125" s="19" t="s">
        <v>79</v>
      </c>
      <c r="G125" s="192" t="s">
        <v>489</v>
      </c>
      <c r="H125" s="164" t="s">
        <v>652</v>
      </c>
      <c r="J125" s="176" t="b">
        <f>EXACT(G125,'Vh5205_C-95'!G125)</f>
        <v>1</v>
      </c>
    </row>
    <row r="126" spans="1:10" x14ac:dyDescent="0.35">
      <c r="A126" s="90">
        <v>123</v>
      </c>
      <c r="B126" s="5" t="s">
        <v>704</v>
      </c>
      <c r="C126" s="5" t="s">
        <v>140</v>
      </c>
      <c r="D126" s="5"/>
      <c r="E126" s="5"/>
      <c r="F126" s="19" t="s">
        <v>79</v>
      </c>
      <c r="G126" s="192" t="s">
        <v>538</v>
      </c>
      <c r="H126" s="164" t="s">
        <v>652</v>
      </c>
      <c r="J126" s="176" t="b">
        <f>EXACT(G126,'Vh5205_C-95'!G126)</f>
        <v>1</v>
      </c>
    </row>
    <row r="127" spans="1:10" s="7" customFormat="1" x14ac:dyDescent="0.35">
      <c r="A127" s="90">
        <v>124</v>
      </c>
      <c r="B127" s="10" t="s">
        <v>704</v>
      </c>
      <c r="C127" s="10" t="s">
        <v>122</v>
      </c>
      <c r="D127" s="146"/>
      <c r="E127" s="146"/>
      <c r="F127" s="20" t="s">
        <v>26</v>
      </c>
      <c r="G127" s="161" t="s">
        <v>196</v>
      </c>
      <c r="H127" s="164" t="s">
        <v>652</v>
      </c>
      <c r="J127" s="176" t="b">
        <f>EXACT(G127,'Vh5205_C-95'!G127)</f>
        <v>1</v>
      </c>
    </row>
    <row r="128" spans="1:10" x14ac:dyDescent="0.35">
      <c r="A128" s="90">
        <v>125</v>
      </c>
      <c r="B128" s="5" t="s">
        <v>704</v>
      </c>
      <c r="C128" s="5" t="s">
        <v>137</v>
      </c>
      <c r="D128" s="5"/>
      <c r="E128" s="5"/>
      <c r="F128" s="19" t="s">
        <v>26</v>
      </c>
      <c r="G128" s="192" t="s">
        <v>359</v>
      </c>
      <c r="H128" s="164" t="s">
        <v>652</v>
      </c>
      <c r="J128" s="176" t="b">
        <f>EXACT(G128,'Vh5205_C-95'!G128)</f>
        <v>1</v>
      </c>
    </row>
    <row r="129" spans="1:10" s="7" customFormat="1" x14ac:dyDescent="0.35">
      <c r="A129" s="90">
        <v>126</v>
      </c>
      <c r="B129" s="146" t="s">
        <v>704</v>
      </c>
      <c r="C129" s="146" t="s">
        <v>120</v>
      </c>
      <c r="D129" s="146"/>
      <c r="E129" s="146"/>
      <c r="F129" s="20" t="s">
        <v>26</v>
      </c>
      <c r="G129" s="161" t="s">
        <v>490</v>
      </c>
      <c r="H129" s="164" t="s">
        <v>652</v>
      </c>
      <c r="J129" s="176" t="b">
        <f>EXACT(G129,'Vh5205_C-95'!G129)</f>
        <v>1</v>
      </c>
    </row>
    <row r="130" spans="1:10" s="7" customFormat="1" x14ac:dyDescent="0.35">
      <c r="A130" s="90">
        <v>127</v>
      </c>
      <c r="B130" s="104" t="s">
        <v>704</v>
      </c>
      <c r="C130" s="104" t="s">
        <v>161</v>
      </c>
      <c r="D130" s="146"/>
      <c r="E130" s="146"/>
      <c r="F130" s="20" t="s">
        <v>79</v>
      </c>
      <c r="G130" s="161" t="s">
        <v>539</v>
      </c>
      <c r="H130" s="164" t="s">
        <v>652</v>
      </c>
      <c r="J130" s="176" t="b">
        <f>EXACT(G130,'Vh5205_C-95'!G130)</f>
        <v>1</v>
      </c>
    </row>
    <row r="131" spans="1:10" s="7" customFormat="1" x14ac:dyDescent="0.35">
      <c r="A131" s="90">
        <v>128</v>
      </c>
      <c r="B131" s="104" t="s">
        <v>704</v>
      </c>
      <c r="C131" s="104" t="s">
        <v>358</v>
      </c>
      <c r="D131" s="146"/>
      <c r="E131" s="146"/>
      <c r="F131" s="20" t="s">
        <v>26</v>
      </c>
      <c r="G131" s="195">
        <v>44781</v>
      </c>
      <c r="H131" s="177"/>
      <c r="J131" s="1" t="b">
        <f>EXACT(G131,'Vh5205_C-95'!G131)</f>
        <v>0</v>
      </c>
    </row>
    <row r="132" spans="1:10" s="7" customFormat="1" x14ac:dyDescent="0.35">
      <c r="A132" s="90">
        <v>129</v>
      </c>
      <c r="B132" s="104" t="s">
        <v>704</v>
      </c>
      <c r="C132" s="104" t="s">
        <v>271</v>
      </c>
      <c r="D132" s="146"/>
      <c r="E132" s="146"/>
      <c r="F132" s="20" t="s">
        <v>26</v>
      </c>
      <c r="G132" s="161" t="s">
        <v>504</v>
      </c>
      <c r="H132" s="177" t="s">
        <v>652</v>
      </c>
      <c r="J132" s="176" t="b">
        <f>EXACT(G132,'Vh5205_C-95'!G132)</f>
        <v>1</v>
      </c>
    </row>
    <row r="133" spans="1:10" ht="46.5" x14ac:dyDescent="0.35">
      <c r="A133" s="90">
        <v>130</v>
      </c>
      <c r="B133" s="91" t="s">
        <v>704</v>
      </c>
      <c r="C133" s="91" t="s">
        <v>315</v>
      </c>
      <c r="D133" s="5"/>
      <c r="E133" s="5" t="s">
        <v>85</v>
      </c>
      <c r="F133" s="19" t="s">
        <v>79</v>
      </c>
      <c r="G133" s="198" t="s">
        <v>525</v>
      </c>
      <c r="H133" s="177" t="s">
        <v>652</v>
      </c>
      <c r="J133" s="176" t="b">
        <f>EXACT(G133,'Vh5205_C-95'!G133)</f>
        <v>1</v>
      </c>
    </row>
    <row r="134" spans="1:10" s="7" customFormat="1" x14ac:dyDescent="0.35">
      <c r="A134" s="90">
        <v>131</v>
      </c>
      <c r="B134" s="146" t="s">
        <v>704</v>
      </c>
      <c r="C134" s="146" t="s">
        <v>121</v>
      </c>
      <c r="D134" s="146"/>
      <c r="E134" s="146" t="s">
        <v>85</v>
      </c>
      <c r="F134" s="20" t="s">
        <v>26</v>
      </c>
      <c r="G134" s="161" t="s">
        <v>491</v>
      </c>
      <c r="H134" s="177" t="s">
        <v>652</v>
      </c>
      <c r="J134" s="176" t="b">
        <f>EXACT(G134,'Vh5205_C-95'!G134)</f>
        <v>1</v>
      </c>
    </row>
    <row r="135" spans="1:10" x14ac:dyDescent="0.35">
      <c r="A135" s="90">
        <v>132</v>
      </c>
      <c r="B135" s="5" t="s">
        <v>704</v>
      </c>
      <c r="C135" s="5" t="s">
        <v>165</v>
      </c>
      <c r="D135" s="5"/>
      <c r="E135" s="5"/>
      <c r="F135" s="19" t="s">
        <v>26</v>
      </c>
      <c r="G135" s="192" t="s">
        <v>540</v>
      </c>
      <c r="H135" s="177" t="s">
        <v>652</v>
      </c>
      <c r="J135" s="176" t="b">
        <f>EXACT(G135,'Vh5205_C-95'!G135)</f>
        <v>1</v>
      </c>
    </row>
    <row r="136" spans="1:10" x14ac:dyDescent="0.35">
      <c r="A136" s="90">
        <v>133</v>
      </c>
      <c r="B136" s="5" t="s">
        <v>704</v>
      </c>
      <c r="C136" s="5" t="s">
        <v>166</v>
      </c>
      <c r="D136" s="5"/>
      <c r="E136" s="5"/>
      <c r="F136" s="19" t="s">
        <v>26</v>
      </c>
      <c r="G136" s="161">
        <v>3</v>
      </c>
      <c r="H136" s="177" t="s">
        <v>652</v>
      </c>
      <c r="J136" s="176" t="b">
        <f>EXACT(G136,'Vh5205_C-95'!G136)</f>
        <v>1</v>
      </c>
    </row>
    <row r="137" spans="1:10" x14ac:dyDescent="0.35">
      <c r="A137" s="90">
        <v>134</v>
      </c>
      <c r="B137" s="5" t="s">
        <v>704</v>
      </c>
      <c r="C137" s="5" t="s">
        <v>141</v>
      </c>
      <c r="D137" s="5"/>
      <c r="E137" s="5"/>
      <c r="F137" s="19" t="s">
        <v>26</v>
      </c>
      <c r="G137" s="161" t="s">
        <v>522</v>
      </c>
      <c r="H137" s="177" t="s">
        <v>652</v>
      </c>
      <c r="J137" s="176" t="b">
        <f>EXACT(G137,'Vh5205_C-95'!G137)</f>
        <v>1</v>
      </c>
    </row>
    <row r="138" spans="1:10" s="7" customFormat="1" x14ac:dyDescent="0.35">
      <c r="A138" s="90"/>
      <c r="B138" s="114" t="s">
        <v>704</v>
      </c>
      <c r="C138" s="114"/>
      <c r="D138" s="87"/>
      <c r="E138" s="87"/>
      <c r="F138" s="21"/>
      <c r="G138" s="196"/>
      <c r="H138" s="180"/>
      <c r="J138" s="1" t="b">
        <f>EXACT(G138,'Vh5205_C-95'!G138)</f>
        <v>1</v>
      </c>
    </row>
    <row r="139" spans="1:10" s="7" customFormat="1" x14ac:dyDescent="0.35">
      <c r="A139" s="90">
        <v>135</v>
      </c>
      <c r="B139" s="10" t="s">
        <v>705</v>
      </c>
      <c r="C139" s="10" t="s">
        <v>142</v>
      </c>
      <c r="D139" s="146"/>
      <c r="E139" s="146"/>
      <c r="F139" s="20" t="s">
        <v>26</v>
      </c>
      <c r="G139" s="192" t="s">
        <v>196</v>
      </c>
      <c r="H139" s="177" t="s">
        <v>652</v>
      </c>
      <c r="J139" s="176" t="b">
        <f>EXACT(G139,'Vh5205_C-95'!G139)</f>
        <v>1</v>
      </c>
    </row>
    <row r="140" spans="1:10" x14ac:dyDescent="0.35">
      <c r="A140" s="90">
        <v>136</v>
      </c>
      <c r="B140" s="5" t="s">
        <v>705</v>
      </c>
      <c r="C140" s="5" t="s">
        <v>138</v>
      </c>
      <c r="D140" s="5"/>
      <c r="E140" s="5"/>
      <c r="F140" s="19" t="s">
        <v>79</v>
      </c>
      <c r="G140" s="161" t="s">
        <v>526</v>
      </c>
      <c r="H140" s="177" t="s">
        <v>652</v>
      </c>
      <c r="J140" s="176" t="b">
        <f>EXACT(G140,'Vh5205_C-95'!G140)</f>
        <v>1</v>
      </c>
    </row>
    <row r="141" spans="1:10" x14ac:dyDescent="0.35">
      <c r="A141" s="90">
        <v>137</v>
      </c>
      <c r="B141" s="104" t="s">
        <v>705</v>
      </c>
      <c r="C141" s="104" t="s">
        <v>161</v>
      </c>
      <c r="D141" s="104"/>
      <c r="E141" s="104"/>
      <c r="F141" s="19" t="s">
        <v>79</v>
      </c>
      <c r="G141" s="161" t="s">
        <v>539</v>
      </c>
      <c r="H141" s="177" t="s">
        <v>652</v>
      </c>
      <c r="J141" s="176" t="b">
        <f>EXACT(G141,'Vh5205_C-95'!G141)</f>
        <v>1</v>
      </c>
    </row>
    <row r="142" spans="1:10" x14ac:dyDescent="0.35">
      <c r="A142" s="90">
        <v>138</v>
      </c>
      <c r="B142" s="104" t="s">
        <v>705</v>
      </c>
      <c r="C142" s="104" t="s">
        <v>358</v>
      </c>
      <c r="D142" s="104"/>
      <c r="E142" s="104"/>
      <c r="F142" s="20" t="s">
        <v>26</v>
      </c>
      <c r="G142" s="195">
        <v>44754</v>
      </c>
      <c r="H142" s="140"/>
      <c r="J142" s="1" t="b">
        <f>EXACT(G142,'Vh5205_C-95'!G142)</f>
        <v>0</v>
      </c>
    </row>
    <row r="143" spans="1:10" x14ac:dyDescent="0.35">
      <c r="A143" s="90">
        <v>139</v>
      </c>
      <c r="B143" s="104" t="s">
        <v>705</v>
      </c>
      <c r="C143" s="104" t="s">
        <v>271</v>
      </c>
      <c r="D143" s="104"/>
      <c r="E143" s="104"/>
      <c r="F143" s="20" t="s">
        <v>26</v>
      </c>
      <c r="G143" s="161" t="s">
        <v>492</v>
      </c>
      <c r="H143" s="177" t="s">
        <v>652</v>
      </c>
      <c r="J143" s="176" t="b">
        <f>EXACT(G143,'Vh5205_C-95'!G143)</f>
        <v>1</v>
      </c>
    </row>
    <row r="144" spans="1:10" x14ac:dyDescent="0.35">
      <c r="A144" s="90">
        <v>140</v>
      </c>
      <c r="B144" s="5" t="s">
        <v>705</v>
      </c>
      <c r="C144" s="5" t="s">
        <v>137</v>
      </c>
      <c r="D144" s="5"/>
      <c r="E144" s="5"/>
      <c r="F144" s="19" t="s">
        <v>26</v>
      </c>
      <c r="G144" s="161" t="s">
        <v>493</v>
      </c>
      <c r="H144" s="177" t="s">
        <v>652</v>
      </c>
      <c r="J144" s="176" t="b">
        <f>EXACT(G144,'Vh5205_C-95'!G144)</f>
        <v>1</v>
      </c>
    </row>
    <row r="145" spans="1:10" x14ac:dyDescent="0.35">
      <c r="A145" s="90">
        <v>141</v>
      </c>
      <c r="B145" s="146" t="s">
        <v>705</v>
      </c>
      <c r="C145" s="146" t="s">
        <v>120</v>
      </c>
      <c r="D145" s="146"/>
      <c r="E145" s="146"/>
      <c r="F145" s="19" t="s">
        <v>26</v>
      </c>
      <c r="G145" s="161" t="s">
        <v>273</v>
      </c>
      <c r="H145" s="177" t="s">
        <v>652</v>
      </c>
      <c r="J145" s="176" t="b">
        <f>EXACT(G145,'Vh5205_C-95'!G145)</f>
        <v>1</v>
      </c>
    </row>
    <row r="146" spans="1:10" x14ac:dyDescent="0.35">
      <c r="A146" s="90">
        <v>142</v>
      </c>
      <c r="B146" s="91" t="s">
        <v>705</v>
      </c>
      <c r="C146" s="91" t="s">
        <v>315</v>
      </c>
      <c r="D146" s="5"/>
      <c r="E146" s="5" t="s">
        <v>85</v>
      </c>
      <c r="F146" s="19" t="s">
        <v>79</v>
      </c>
      <c r="G146" s="198" t="s">
        <v>532</v>
      </c>
      <c r="H146" s="140"/>
      <c r="J146" s="1" t="b">
        <f>EXACT(G146,'Vh5205_C-95'!G146)</f>
        <v>0</v>
      </c>
    </row>
    <row r="147" spans="1:10" x14ac:dyDescent="0.35">
      <c r="A147" s="90">
        <v>143</v>
      </c>
      <c r="B147" s="87" t="s">
        <v>705</v>
      </c>
      <c r="C147" s="87" t="s">
        <v>121</v>
      </c>
      <c r="D147" s="93"/>
      <c r="E147" s="87" t="s">
        <v>85</v>
      </c>
      <c r="F147" s="22" t="s">
        <v>26</v>
      </c>
      <c r="G147" s="196" t="s">
        <v>274</v>
      </c>
      <c r="H147" s="180" t="s">
        <v>652</v>
      </c>
      <c r="J147" s="176" t="b">
        <f>EXACT(G147,'Vh5205_C-95'!G147)</f>
        <v>1</v>
      </c>
    </row>
    <row r="148" spans="1:10" x14ac:dyDescent="0.35">
      <c r="A148" s="90">
        <v>144</v>
      </c>
      <c r="B148" s="111" t="s">
        <v>706</v>
      </c>
      <c r="C148" s="111" t="s">
        <v>287</v>
      </c>
      <c r="D148" s="111"/>
      <c r="E148" s="111"/>
      <c r="F148" s="18" t="s">
        <v>26</v>
      </c>
      <c r="G148" s="197" t="s">
        <v>281</v>
      </c>
      <c r="H148" s="177" t="s">
        <v>652</v>
      </c>
      <c r="J148" s="176" t="b">
        <f>EXACT(G148,'Vh5205_C-95'!G148)</f>
        <v>1</v>
      </c>
    </row>
    <row r="149" spans="1:10" x14ac:dyDescent="0.35">
      <c r="A149" s="90">
        <v>145</v>
      </c>
      <c r="B149" s="5" t="s">
        <v>706</v>
      </c>
      <c r="C149" s="5" t="s">
        <v>366</v>
      </c>
      <c r="D149" s="5"/>
      <c r="E149" s="5"/>
      <c r="F149" s="19" t="s">
        <v>26</v>
      </c>
      <c r="G149" s="161" t="s">
        <v>288</v>
      </c>
      <c r="H149" s="177" t="s">
        <v>652</v>
      </c>
      <c r="J149" s="176" t="b">
        <f>EXACT(G149,'Vh5205_C-95'!G149)</f>
        <v>1</v>
      </c>
    </row>
    <row r="150" spans="1:10" x14ac:dyDescent="0.35">
      <c r="A150" s="90">
        <v>146</v>
      </c>
      <c r="B150" s="93" t="s">
        <v>706</v>
      </c>
      <c r="C150" s="93" t="s">
        <v>367</v>
      </c>
      <c r="D150" s="93"/>
      <c r="E150" s="93"/>
      <c r="F150" s="22" t="s">
        <v>26</v>
      </c>
      <c r="G150" s="194" t="s">
        <v>524</v>
      </c>
      <c r="H150" s="180" t="s">
        <v>652</v>
      </c>
      <c r="J150" s="176" t="b">
        <f>EXACT(G150,'Vh5205_C-95'!G150)</f>
        <v>1</v>
      </c>
    </row>
    <row r="151" spans="1:10" s="7" customFormat="1" x14ac:dyDescent="0.35">
      <c r="A151" s="90">
        <v>147</v>
      </c>
      <c r="B151" s="100" t="s">
        <v>707</v>
      </c>
      <c r="C151" s="100" t="s">
        <v>169</v>
      </c>
      <c r="D151" s="146"/>
      <c r="E151" s="146"/>
      <c r="F151" s="19" t="s">
        <v>26</v>
      </c>
      <c r="G151" s="206" t="s">
        <v>541</v>
      </c>
      <c r="H151" s="177" t="s">
        <v>652</v>
      </c>
      <c r="J151" s="176" t="b">
        <f>EXACT(G151,'Vh5205_C-95'!G151)</f>
        <v>1</v>
      </c>
    </row>
    <row r="152" spans="1:10" s="7" customFormat="1" x14ac:dyDescent="0.35">
      <c r="A152" s="90">
        <v>148</v>
      </c>
      <c r="B152" s="146" t="s">
        <v>707</v>
      </c>
      <c r="C152" s="146" t="s">
        <v>192</v>
      </c>
      <c r="D152" s="146"/>
      <c r="E152" s="146"/>
      <c r="F152" s="19" t="s">
        <v>26</v>
      </c>
      <c r="G152" s="192" t="s">
        <v>542</v>
      </c>
      <c r="H152" s="177" t="s">
        <v>652</v>
      </c>
      <c r="J152" s="176" t="b">
        <f>EXACT(G152,'Vh5205_C-95'!G152)</f>
        <v>1</v>
      </c>
    </row>
    <row r="153" spans="1:10" s="7" customFormat="1" x14ac:dyDescent="0.35">
      <c r="A153" s="90">
        <v>149</v>
      </c>
      <c r="B153" s="146" t="s">
        <v>707</v>
      </c>
      <c r="C153" s="146" t="s">
        <v>170</v>
      </c>
      <c r="D153" s="146"/>
      <c r="E153" s="146"/>
      <c r="F153" s="19" t="s">
        <v>26</v>
      </c>
      <c r="G153" s="192" t="s">
        <v>275</v>
      </c>
      <c r="H153" s="177" t="s">
        <v>652</v>
      </c>
      <c r="J153" s="176" t="b">
        <f>EXACT(G153,'Vh5205_C-95'!G153)</f>
        <v>1</v>
      </c>
    </row>
    <row r="154" spans="1:10" s="7" customFormat="1" x14ac:dyDescent="0.35">
      <c r="A154" s="90">
        <v>150</v>
      </c>
      <c r="B154" s="146" t="s">
        <v>707</v>
      </c>
      <c r="C154" s="146" t="s">
        <v>280</v>
      </c>
      <c r="D154" s="146"/>
      <c r="E154" s="146"/>
      <c r="F154" s="19" t="s">
        <v>79</v>
      </c>
      <c r="G154" s="161" t="s">
        <v>494</v>
      </c>
      <c r="H154" s="177" t="s">
        <v>652</v>
      </c>
      <c r="J154" s="176" t="b">
        <f>EXACT(G154,'Vh5205_C-95'!G154)</f>
        <v>1</v>
      </c>
    </row>
    <row r="155" spans="1:10" s="7" customFormat="1" x14ac:dyDescent="0.35">
      <c r="A155" s="90">
        <v>151</v>
      </c>
      <c r="B155" s="146" t="s">
        <v>707</v>
      </c>
      <c r="C155" s="146" t="s">
        <v>44</v>
      </c>
      <c r="D155" s="146"/>
      <c r="E155" s="146"/>
      <c r="F155" s="19" t="s">
        <v>79</v>
      </c>
      <c r="G155" s="205" t="s">
        <v>495</v>
      </c>
      <c r="H155" s="177" t="s">
        <v>652</v>
      </c>
      <c r="J155" s="176" t="b">
        <f>EXACT(G155,'Vh5205_C-95'!G155)</f>
        <v>1</v>
      </c>
    </row>
    <row r="156" spans="1:10" s="7" customFormat="1" x14ac:dyDescent="0.35">
      <c r="A156" s="90">
        <v>152</v>
      </c>
      <c r="B156" s="10" t="s">
        <v>707</v>
      </c>
      <c r="C156" s="10" t="s">
        <v>289</v>
      </c>
      <c r="D156" s="146"/>
      <c r="E156" s="146"/>
      <c r="F156" s="20" t="s">
        <v>79</v>
      </c>
      <c r="G156" s="192" t="s">
        <v>524</v>
      </c>
      <c r="H156" s="177" t="s">
        <v>652</v>
      </c>
      <c r="J156" s="176" t="b">
        <f>EXACT(G156,'Vh5205_C-95'!G156)</f>
        <v>1</v>
      </c>
    </row>
    <row r="157" spans="1:10" s="7" customFormat="1" x14ac:dyDescent="0.35">
      <c r="A157" s="90">
        <v>153</v>
      </c>
      <c r="B157" s="146" t="s">
        <v>707</v>
      </c>
      <c r="C157" s="146" t="s">
        <v>279</v>
      </c>
      <c r="D157" s="146"/>
      <c r="E157" s="146"/>
      <c r="F157" s="19" t="s">
        <v>79</v>
      </c>
      <c r="G157" s="192" t="s">
        <v>385</v>
      </c>
      <c r="H157" s="177" t="s">
        <v>652</v>
      </c>
      <c r="J157" s="176" t="b">
        <f>EXACT(G157,'Vh5205_C-95'!G157)</f>
        <v>1</v>
      </c>
    </row>
    <row r="158" spans="1:10" s="7" customFormat="1" x14ac:dyDescent="0.35">
      <c r="A158" s="90">
        <v>154</v>
      </c>
      <c r="B158" s="10" t="s">
        <v>707</v>
      </c>
      <c r="C158" s="10" t="s">
        <v>31</v>
      </c>
      <c r="D158" s="146"/>
      <c r="E158" s="146" t="s">
        <v>194</v>
      </c>
      <c r="F158" s="19" t="s">
        <v>26</v>
      </c>
      <c r="G158" s="199" t="s">
        <v>496</v>
      </c>
      <c r="H158" s="177" t="s">
        <v>652</v>
      </c>
      <c r="J158" s="176" t="b">
        <f>EXACT(G158,'Vh5205_C-95'!G158)</f>
        <v>1</v>
      </c>
    </row>
    <row r="159" spans="1:10" s="7" customFormat="1" x14ac:dyDescent="0.35">
      <c r="A159" s="90">
        <v>155</v>
      </c>
      <c r="B159" s="10" t="s">
        <v>707</v>
      </c>
      <c r="C159" s="10" t="s">
        <v>32</v>
      </c>
      <c r="D159" s="146"/>
      <c r="E159" s="146" t="s">
        <v>586</v>
      </c>
      <c r="F159" s="19" t="s">
        <v>26</v>
      </c>
      <c r="G159" s="198" t="s">
        <v>497</v>
      </c>
      <c r="H159" s="177" t="s">
        <v>652</v>
      </c>
      <c r="J159" s="176" t="b">
        <f>EXACT(G159,'Vh5205_C-95'!G159)</f>
        <v>1</v>
      </c>
    </row>
    <row r="160" spans="1:10" s="7" customFormat="1" x14ac:dyDescent="0.35">
      <c r="A160" s="90">
        <v>156</v>
      </c>
      <c r="B160" s="10" t="s">
        <v>707</v>
      </c>
      <c r="C160" s="10" t="s">
        <v>291</v>
      </c>
      <c r="D160" s="146"/>
      <c r="E160" s="146" t="s">
        <v>2</v>
      </c>
      <c r="F160" s="19" t="s">
        <v>26</v>
      </c>
      <c r="G160" s="192">
        <v>25</v>
      </c>
      <c r="H160" s="177" t="s">
        <v>652</v>
      </c>
      <c r="J160" s="176" t="b">
        <f>EXACT(G160,'Vh5205_C-95'!G160)</f>
        <v>1</v>
      </c>
    </row>
    <row r="161" spans="1:10" s="7" customFormat="1" x14ac:dyDescent="0.35">
      <c r="A161" s="90">
        <v>157</v>
      </c>
      <c r="B161" s="146" t="s">
        <v>707</v>
      </c>
      <c r="C161" s="146" t="s">
        <v>293</v>
      </c>
      <c r="D161" s="146"/>
      <c r="E161" s="146"/>
      <c r="F161" s="20" t="s">
        <v>26</v>
      </c>
      <c r="G161" s="192" t="s">
        <v>196</v>
      </c>
      <c r="H161" s="177" t="s">
        <v>652</v>
      </c>
      <c r="J161" s="176" t="b">
        <f>EXACT(G161,'Vh5205_C-95'!G161)</f>
        <v>1</v>
      </c>
    </row>
    <row r="162" spans="1:10" s="7" customFormat="1" x14ac:dyDescent="0.35">
      <c r="A162" s="90">
        <v>158</v>
      </c>
      <c r="B162" s="104" t="s">
        <v>707</v>
      </c>
      <c r="C162" s="104" t="s">
        <v>161</v>
      </c>
      <c r="D162" s="104"/>
      <c r="E162" s="104"/>
      <c r="F162" s="20" t="s">
        <v>79</v>
      </c>
      <c r="G162" s="161" t="s">
        <v>539</v>
      </c>
      <c r="H162" s="177" t="s">
        <v>652</v>
      </c>
      <c r="J162" s="176" t="b">
        <f>EXACT(G162,'Vh5205_C-95'!G162)</f>
        <v>1</v>
      </c>
    </row>
    <row r="163" spans="1:10" x14ac:dyDescent="0.35">
      <c r="A163" s="90">
        <v>159</v>
      </c>
      <c r="B163" s="104" t="s">
        <v>707</v>
      </c>
      <c r="C163" s="104" t="s">
        <v>358</v>
      </c>
      <c r="D163" s="104"/>
      <c r="E163" s="104"/>
      <c r="F163" s="20" t="s">
        <v>26</v>
      </c>
      <c r="G163" s="195">
        <v>44735</v>
      </c>
      <c r="H163" s="140"/>
      <c r="J163" s="2" t="b">
        <f>EXACT(G163,'Vh5205_C-95'!G163)</f>
        <v>0</v>
      </c>
    </row>
    <row r="164" spans="1:10" x14ac:dyDescent="0.35">
      <c r="A164" s="90">
        <v>160</v>
      </c>
      <c r="B164" s="104" t="s">
        <v>707</v>
      </c>
      <c r="C164" s="104" t="s">
        <v>271</v>
      </c>
      <c r="D164" s="104"/>
      <c r="E164" s="104"/>
      <c r="F164" s="20" t="s">
        <v>26</v>
      </c>
      <c r="G164" s="161" t="s">
        <v>492</v>
      </c>
      <c r="H164" s="177" t="s">
        <v>652</v>
      </c>
      <c r="J164" s="176" t="b">
        <f>EXACT(G164,'Vh5205_C-95'!G164)</f>
        <v>1</v>
      </c>
    </row>
    <row r="165" spans="1:10" s="7" customFormat="1" x14ac:dyDescent="0.35">
      <c r="A165" s="90">
        <v>161</v>
      </c>
      <c r="B165" s="146" t="s">
        <v>707</v>
      </c>
      <c r="C165" s="146" t="s">
        <v>119</v>
      </c>
      <c r="D165" s="146"/>
      <c r="E165" s="146"/>
      <c r="F165" s="20" t="s">
        <v>26</v>
      </c>
      <c r="G165" s="161">
        <v>1</v>
      </c>
      <c r="H165" s="177" t="s">
        <v>652</v>
      </c>
      <c r="J165" s="176" t="b">
        <f>EXACT(G165,'Vh5205_C-95'!G165)</f>
        <v>1</v>
      </c>
    </row>
    <row r="166" spans="1:10" s="7" customFormat="1" x14ac:dyDescent="0.35">
      <c r="A166" s="90">
        <v>162</v>
      </c>
      <c r="B166" s="146" t="s">
        <v>707</v>
      </c>
      <c r="C166" s="146" t="s">
        <v>145</v>
      </c>
      <c r="D166" s="146"/>
      <c r="E166" s="10" t="s">
        <v>171</v>
      </c>
      <c r="F166" s="20" t="s">
        <v>26</v>
      </c>
      <c r="G166" s="161" t="s">
        <v>543</v>
      </c>
      <c r="H166" s="177" t="s">
        <v>652</v>
      </c>
      <c r="J166" s="176" t="b">
        <f>EXACT(G166,'Vh5205_C-95'!G166)</f>
        <v>1</v>
      </c>
    </row>
    <row r="167" spans="1:10" s="7" customFormat="1" x14ac:dyDescent="0.35">
      <c r="A167" s="90">
        <v>163</v>
      </c>
      <c r="B167" s="87" t="s">
        <v>707</v>
      </c>
      <c r="C167" s="87" t="s">
        <v>120</v>
      </c>
      <c r="D167" s="87"/>
      <c r="E167" s="87"/>
      <c r="F167" s="21" t="s">
        <v>26</v>
      </c>
      <c r="G167" s="194" t="s">
        <v>276</v>
      </c>
      <c r="H167" s="180" t="s">
        <v>652</v>
      </c>
      <c r="J167" s="176" t="b">
        <f>EXACT(G167,'Vh5205_C-95'!G167)</f>
        <v>1</v>
      </c>
    </row>
    <row r="168" spans="1:10" s="7" customFormat="1" x14ac:dyDescent="0.35">
      <c r="A168" s="90"/>
      <c r="B168" s="10" t="s">
        <v>708</v>
      </c>
      <c r="C168" s="10"/>
      <c r="D168" s="146"/>
      <c r="E168" s="146"/>
      <c r="F168" s="20"/>
      <c r="G168" s="208"/>
      <c r="H168" s="180"/>
      <c r="J168" s="1" t="b">
        <f>EXACT(G168,'Vh5205_C-95'!G168)</f>
        <v>1</v>
      </c>
    </row>
    <row r="169" spans="1:10" s="7" customFormat="1" ht="46.5" x14ac:dyDescent="0.35">
      <c r="A169" s="90">
        <v>164</v>
      </c>
      <c r="B169" s="102" t="s">
        <v>709</v>
      </c>
      <c r="C169" s="102" t="s">
        <v>588</v>
      </c>
      <c r="D169" s="100"/>
      <c r="E169" s="100"/>
      <c r="F169" s="18" t="s">
        <v>26</v>
      </c>
      <c r="G169" s="197" t="s">
        <v>657</v>
      </c>
      <c r="H169" s="177" t="s">
        <v>652</v>
      </c>
      <c r="J169" s="176" t="b">
        <f>EXACT(G169,'Vh5205_C-95'!G169)</f>
        <v>1</v>
      </c>
    </row>
    <row r="170" spans="1:10" s="7" customFormat="1" ht="31" x14ac:dyDescent="0.35">
      <c r="A170" s="90">
        <v>165</v>
      </c>
      <c r="B170" s="10" t="s">
        <v>709</v>
      </c>
      <c r="C170" s="10" t="s">
        <v>589</v>
      </c>
      <c r="D170" s="146"/>
      <c r="E170" s="146"/>
      <c r="F170" s="23" t="s">
        <v>26</v>
      </c>
      <c r="G170" s="161" t="s">
        <v>622</v>
      </c>
      <c r="H170" s="177" t="s">
        <v>652</v>
      </c>
      <c r="J170" s="176" t="b">
        <f>EXACT(G170,'Vh5205_C-95'!G170)</f>
        <v>1</v>
      </c>
    </row>
    <row r="171" spans="1:10" s="7" customFormat="1" ht="17.5" x14ac:dyDescent="0.35">
      <c r="A171" s="90">
        <v>166</v>
      </c>
      <c r="B171" s="10" t="s">
        <v>709</v>
      </c>
      <c r="C171" s="10" t="s">
        <v>498</v>
      </c>
      <c r="D171" s="146"/>
      <c r="E171" s="146"/>
      <c r="F171" s="23" t="s">
        <v>26</v>
      </c>
      <c r="G171" s="161" t="s">
        <v>658</v>
      </c>
      <c r="H171" s="177" t="s">
        <v>652</v>
      </c>
      <c r="J171" s="176" t="b">
        <f>EXACT(G171,'Vh5205_C-95'!G171)</f>
        <v>1</v>
      </c>
    </row>
    <row r="172" spans="1:10" s="7" customFormat="1" x14ac:dyDescent="0.35">
      <c r="A172" s="90">
        <v>167</v>
      </c>
      <c r="B172" s="10" t="s">
        <v>709</v>
      </c>
      <c r="C172" s="10" t="s">
        <v>313</v>
      </c>
      <c r="D172" s="146"/>
      <c r="E172" s="146"/>
      <c r="F172" s="19" t="s">
        <v>26</v>
      </c>
      <c r="G172" s="192" t="s">
        <v>48</v>
      </c>
      <c r="H172" s="177" t="s">
        <v>652</v>
      </c>
      <c r="J172" s="176" t="b">
        <f>EXACT(G172,'Vh5205_C-95'!G172)</f>
        <v>1</v>
      </c>
    </row>
    <row r="173" spans="1:10" s="7" customFormat="1" x14ac:dyDescent="0.35">
      <c r="A173" s="90">
        <v>168</v>
      </c>
      <c r="B173" s="146" t="s">
        <v>709</v>
      </c>
      <c r="C173" s="146" t="s">
        <v>306</v>
      </c>
      <c r="D173" s="146"/>
      <c r="E173" s="146"/>
      <c r="F173" s="19" t="s">
        <v>26</v>
      </c>
      <c r="G173" s="192" t="s">
        <v>524</v>
      </c>
      <c r="H173" s="177" t="s">
        <v>652</v>
      </c>
      <c r="J173" s="176" t="b">
        <f>EXACT(G173,'Vh5205_C-95'!G173)</f>
        <v>1</v>
      </c>
    </row>
    <row r="174" spans="1:10" s="7" customFormat="1" x14ac:dyDescent="0.35">
      <c r="A174" s="90">
        <v>169</v>
      </c>
      <c r="B174" s="87" t="s">
        <v>709</v>
      </c>
      <c r="C174" s="87" t="s">
        <v>307</v>
      </c>
      <c r="D174" s="87"/>
      <c r="E174" s="87"/>
      <c r="F174" s="22" t="s">
        <v>79</v>
      </c>
      <c r="G174" s="196"/>
      <c r="H174" s="180"/>
      <c r="J174" s="1" t="b">
        <f>EXACT(G174,'Vh5205_C-95'!G174)</f>
        <v>1</v>
      </c>
    </row>
    <row r="175" spans="1:10" s="7" customFormat="1" x14ac:dyDescent="0.35">
      <c r="A175" s="90">
        <v>170</v>
      </c>
      <c r="B175" s="146" t="s">
        <v>710</v>
      </c>
      <c r="C175" s="146" t="s">
        <v>10</v>
      </c>
      <c r="D175" s="146" t="s">
        <v>146</v>
      </c>
      <c r="E175" s="146" t="s">
        <v>2</v>
      </c>
      <c r="F175" s="19" t="s">
        <v>26</v>
      </c>
      <c r="G175" s="209">
        <v>6.01</v>
      </c>
      <c r="H175" s="177"/>
      <c r="J175" s="1" t="b">
        <f>EXACT(G175,'Vh5205_C-95'!G175)</f>
        <v>0</v>
      </c>
    </row>
    <row r="176" spans="1:10" s="7" customFormat="1" ht="17.5" x14ac:dyDescent="0.35">
      <c r="A176" s="90">
        <v>171</v>
      </c>
      <c r="B176" s="146" t="s">
        <v>710</v>
      </c>
      <c r="C176" s="146" t="s">
        <v>11</v>
      </c>
      <c r="D176" s="146" t="s">
        <v>591</v>
      </c>
      <c r="E176" s="146" t="s">
        <v>2</v>
      </c>
      <c r="F176" s="19" t="s">
        <v>26</v>
      </c>
      <c r="G176" s="210">
        <v>23.9</v>
      </c>
      <c r="H176" s="177"/>
      <c r="J176" s="1" t="b">
        <f>EXACT(G176,'Vh5205_C-95'!G176)</f>
        <v>1</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EXACT(G177,'Vh5205_C-95'!G177)</f>
        <v>1</v>
      </c>
    </row>
    <row r="178" spans="1:10" s="7" customFormat="1" x14ac:dyDescent="0.35">
      <c r="A178" s="90">
        <v>173</v>
      </c>
      <c r="B178" s="10" t="s">
        <v>710</v>
      </c>
      <c r="C178" s="10" t="s">
        <v>28</v>
      </c>
      <c r="D178" s="146" t="s">
        <v>593</v>
      </c>
      <c r="E178" s="146" t="s">
        <v>2</v>
      </c>
      <c r="F178" s="19" t="s">
        <v>26</v>
      </c>
      <c r="G178" s="211">
        <v>23</v>
      </c>
      <c r="H178" s="177"/>
      <c r="J178" s="1" t="b">
        <f>EXACT(G178,'Vh5205_C-95'!G178)</f>
        <v>0</v>
      </c>
    </row>
    <row r="179" spans="1:10" s="7" customFormat="1" ht="17.5" x14ac:dyDescent="0.35">
      <c r="A179" s="90">
        <v>174</v>
      </c>
      <c r="B179" s="10" t="s">
        <v>710</v>
      </c>
      <c r="C179" s="10" t="s">
        <v>29</v>
      </c>
      <c r="D179" s="10" t="s">
        <v>440</v>
      </c>
      <c r="E179" s="146" t="s">
        <v>2</v>
      </c>
      <c r="F179" s="19" t="s">
        <v>26</v>
      </c>
      <c r="G179" s="210">
        <v>23.9</v>
      </c>
      <c r="H179" s="177"/>
      <c r="J179" s="1" t="b">
        <f>EXACT(G179,'Vh5205_C-95'!G179)</f>
        <v>1</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EXACT(G180,'Vh5205_C-95'!G180)</f>
        <v>1</v>
      </c>
    </row>
    <row r="181" spans="1:10" s="7" customFormat="1" ht="17.5" x14ac:dyDescent="0.35">
      <c r="A181" s="90">
        <v>176</v>
      </c>
      <c r="B181" s="10" t="s">
        <v>710</v>
      </c>
      <c r="C181" s="10" t="s">
        <v>30</v>
      </c>
      <c r="D181" s="10" t="s">
        <v>443</v>
      </c>
      <c r="E181" s="146" t="s">
        <v>2</v>
      </c>
      <c r="F181" s="19" t="s">
        <v>26</v>
      </c>
      <c r="G181" s="211">
        <v>23</v>
      </c>
      <c r="H181" s="177"/>
      <c r="J181" s="1" t="b">
        <f>EXACT(G181,'Vh5205_C-95'!G181)</f>
        <v>0</v>
      </c>
    </row>
    <row r="182" spans="1:10" s="7" customFormat="1" x14ac:dyDescent="0.35">
      <c r="A182" s="90">
        <v>177</v>
      </c>
      <c r="B182" s="146" t="s">
        <v>710</v>
      </c>
      <c r="C182" s="146" t="s">
        <v>444</v>
      </c>
      <c r="D182" s="10" t="s">
        <v>445</v>
      </c>
      <c r="E182" s="146" t="s">
        <v>2</v>
      </c>
      <c r="F182" s="19" t="s">
        <v>26</v>
      </c>
      <c r="G182" s="211">
        <v>4</v>
      </c>
      <c r="H182" s="177"/>
      <c r="J182" s="1" t="b">
        <f>EXACT(G182,'Vh5205_C-95'!G182)</f>
        <v>1</v>
      </c>
    </row>
    <row r="183" spans="1:10" s="7" customFormat="1" ht="17.5" x14ac:dyDescent="0.35">
      <c r="A183" s="90">
        <v>178</v>
      </c>
      <c r="B183" s="146" t="s">
        <v>710</v>
      </c>
      <c r="C183" s="146" t="s">
        <v>446</v>
      </c>
      <c r="D183" s="10" t="s">
        <v>447</v>
      </c>
      <c r="E183" s="146" t="s">
        <v>2</v>
      </c>
      <c r="F183" s="19" t="s">
        <v>26</v>
      </c>
      <c r="G183" s="203">
        <v>4.49</v>
      </c>
      <c r="H183" s="177"/>
      <c r="J183" s="1" t="b">
        <f>EXACT(G183,'Vh5205_C-95'!G183)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EXACT(G184,'Vh5205_C-95'!G184)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EXACT(G185,'Vh5205_C-95'!G185)</f>
        <v>1</v>
      </c>
    </row>
    <row r="186" spans="1:10" s="7" customFormat="1" x14ac:dyDescent="0.35">
      <c r="A186" s="90">
        <v>181</v>
      </c>
      <c r="B186" s="146" t="s">
        <v>710</v>
      </c>
      <c r="C186" s="146" t="s">
        <v>452</v>
      </c>
      <c r="D186" s="10" t="s">
        <v>453</v>
      </c>
      <c r="E186" s="146" t="s">
        <v>2</v>
      </c>
      <c r="F186" s="19" t="s">
        <v>26</v>
      </c>
      <c r="G186" s="211">
        <v>3.8</v>
      </c>
      <c r="H186" s="177"/>
      <c r="J186" s="1" t="b">
        <f>EXACT(G186,'Vh5205_C-95'!G186)</f>
        <v>1</v>
      </c>
    </row>
    <row r="187" spans="1:10" s="7" customFormat="1" ht="17.5" x14ac:dyDescent="0.35">
      <c r="A187" s="90">
        <v>182</v>
      </c>
      <c r="B187" s="87" t="s">
        <v>710</v>
      </c>
      <c r="C187" s="87" t="s">
        <v>454</v>
      </c>
      <c r="D187" s="13" t="s">
        <v>455</v>
      </c>
      <c r="E187" s="87" t="s">
        <v>2</v>
      </c>
      <c r="F187" s="22" t="s">
        <v>26</v>
      </c>
      <c r="G187" s="212">
        <v>4.32</v>
      </c>
      <c r="H187" s="180"/>
      <c r="J187" s="1" t="b">
        <f>EXACT(G187,'Vh5205_C-95'!G187)</f>
        <v>1</v>
      </c>
    </row>
    <row r="188" spans="1:10" s="7" customFormat="1" x14ac:dyDescent="0.35">
      <c r="A188" s="90">
        <v>183</v>
      </c>
      <c r="B188" s="146" t="s">
        <v>711</v>
      </c>
      <c r="C188" s="146" t="s">
        <v>45</v>
      </c>
      <c r="D188" s="146" t="s">
        <v>36</v>
      </c>
      <c r="E188" s="146" t="s">
        <v>314</v>
      </c>
      <c r="F188" s="19" t="s">
        <v>26</v>
      </c>
      <c r="G188" s="192" t="s">
        <v>544</v>
      </c>
      <c r="H188" s="177" t="s">
        <v>652</v>
      </c>
      <c r="J188" s="176" t="b">
        <f>EXACT(G188,'Vh5205_C-95'!G188)</f>
        <v>1</v>
      </c>
    </row>
    <row r="189" spans="1:10" s="7" customFormat="1" x14ac:dyDescent="0.35">
      <c r="A189" s="90">
        <v>184</v>
      </c>
      <c r="B189" s="10" t="s">
        <v>711</v>
      </c>
      <c r="C189" s="10" t="s">
        <v>47</v>
      </c>
      <c r="D189" s="106" t="s">
        <v>597</v>
      </c>
      <c r="E189" s="146" t="s">
        <v>2</v>
      </c>
      <c r="F189" s="19" t="s">
        <v>79</v>
      </c>
      <c r="G189" s="161"/>
      <c r="H189" s="177"/>
      <c r="J189" s="1" t="b">
        <f>EXACT(G189,'Vh5205_C-95'!G189)</f>
        <v>1</v>
      </c>
    </row>
    <row r="190" spans="1:10" s="7" customFormat="1" ht="17.5" x14ac:dyDescent="0.35">
      <c r="A190" s="90">
        <v>185</v>
      </c>
      <c r="B190" s="10" t="s">
        <v>711</v>
      </c>
      <c r="C190" s="10" t="s">
        <v>175</v>
      </c>
      <c r="D190" s="106" t="s">
        <v>598</v>
      </c>
      <c r="E190" s="146" t="s">
        <v>2</v>
      </c>
      <c r="F190" s="19" t="s">
        <v>79</v>
      </c>
      <c r="G190" s="161"/>
      <c r="H190" s="177"/>
      <c r="J190" s="1" t="b">
        <f>EXACT(G190,'Vh5205_C-95'!G190)</f>
        <v>1</v>
      </c>
    </row>
    <row r="191" spans="1:10" s="7" customFormat="1" x14ac:dyDescent="0.35">
      <c r="A191" s="90">
        <v>186</v>
      </c>
      <c r="B191" s="146" t="s">
        <v>711</v>
      </c>
      <c r="C191" s="146" t="s">
        <v>12</v>
      </c>
      <c r="D191" s="146"/>
      <c r="E191" s="146" t="s">
        <v>5</v>
      </c>
      <c r="F191" s="19" t="s">
        <v>26</v>
      </c>
      <c r="G191" s="161">
        <v>2.35</v>
      </c>
      <c r="H191" s="177"/>
      <c r="J191" s="1" t="b">
        <f>EXACT(G191,'Vh5205_C-95'!G191)</f>
        <v>0</v>
      </c>
    </row>
    <row r="192" spans="1:10" s="7" customFormat="1" x14ac:dyDescent="0.35">
      <c r="A192" s="90">
        <v>187</v>
      </c>
      <c r="B192" s="146" t="s">
        <v>711</v>
      </c>
      <c r="C192" s="146" t="s">
        <v>53</v>
      </c>
      <c r="D192" s="146"/>
      <c r="E192" s="146" t="s">
        <v>5</v>
      </c>
      <c r="F192" s="19" t="s">
        <v>26</v>
      </c>
      <c r="G192" s="161">
        <v>1.92</v>
      </c>
      <c r="H192" s="177"/>
      <c r="J192" s="1" t="b">
        <f>EXACT(G192,'Vh5205_C-95'!G192)</f>
        <v>0</v>
      </c>
    </row>
    <row r="193" spans="1:10" s="7" customFormat="1" x14ac:dyDescent="0.35">
      <c r="A193" s="90">
        <v>188</v>
      </c>
      <c r="B193" s="146" t="s">
        <v>711</v>
      </c>
      <c r="C193" s="146" t="s">
        <v>8</v>
      </c>
      <c r="D193" s="146" t="s">
        <v>36</v>
      </c>
      <c r="E193" s="146" t="s">
        <v>5</v>
      </c>
      <c r="F193" s="22" t="s">
        <v>26</v>
      </c>
      <c r="G193" s="213">
        <v>491</v>
      </c>
      <c r="H193" s="180"/>
      <c r="J193" s="1" t="b">
        <f>EXACT(G193,'Vh5205_C-95'!G193)</f>
        <v>0</v>
      </c>
    </row>
    <row r="194" spans="1:10" s="7" customFormat="1" ht="17.5" x14ac:dyDescent="0.35">
      <c r="A194" s="90">
        <v>189</v>
      </c>
      <c r="B194" s="100" t="s">
        <v>712</v>
      </c>
      <c r="C194" s="100" t="s">
        <v>118</v>
      </c>
      <c r="D194" s="100" t="s">
        <v>599</v>
      </c>
      <c r="E194" s="100" t="s">
        <v>5</v>
      </c>
      <c r="F194" s="19" t="s">
        <v>26</v>
      </c>
      <c r="G194" s="214">
        <v>491</v>
      </c>
      <c r="H194" s="177"/>
      <c r="J194" s="1" t="b">
        <f>EXACT(G194,'Vh5205_C-95'!G194)</f>
        <v>0</v>
      </c>
    </row>
    <row r="195" spans="1:10" s="7" customFormat="1" x14ac:dyDescent="0.35">
      <c r="A195" s="90">
        <v>190</v>
      </c>
      <c r="B195" s="10" t="s">
        <v>712</v>
      </c>
      <c r="C195" s="10" t="s">
        <v>176</v>
      </c>
      <c r="D195" s="146"/>
      <c r="E195" s="146"/>
      <c r="F195" s="19" t="s">
        <v>26</v>
      </c>
      <c r="G195" s="161" t="s">
        <v>533</v>
      </c>
      <c r="H195" s="177"/>
      <c r="J195" s="1" t="b">
        <f>EXACT(G195,'Vh5205_C-95'!G195)</f>
        <v>0</v>
      </c>
    </row>
    <row r="196" spans="1:10" s="7" customFormat="1" x14ac:dyDescent="0.35">
      <c r="A196" s="90">
        <v>191</v>
      </c>
      <c r="B196" s="13" t="s">
        <v>712</v>
      </c>
      <c r="C196" s="13" t="s">
        <v>38</v>
      </c>
      <c r="D196" s="87" t="s">
        <v>49</v>
      </c>
      <c r="E196" s="87" t="s">
        <v>2</v>
      </c>
      <c r="F196" s="22" t="s">
        <v>79</v>
      </c>
      <c r="G196" s="215">
        <v>30.2</v>
      </c>
      <c r="H196" s="180"/>
      <c r="J196" s="1" t="b">
        <f>EXACT(G196,'Vh5205_C-95'!G196)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EXACT(G197,'Vh5205_C-95'!G197)</f>
        <v>1</v>
      </c>
    </row>
    <row r="198" spans="1:10" s="7" customFormat="1" x14ac:dyDescent="0.35">
      <c r="A198" s="90">
        <v>193</v>
      </c>
      <c r="B198" s="10" t="s">
        <v>711</v>
      </c>
      <c r="C198" s="10" t="s">
        <v>193</v>
      </c>
      <c r="D198" s="5"/>
      <c r="E198" s="10" t="s">
        <v>0</v>
      </c>
      <c r="F198" s="19" t="s">
        <v>26</v>
      </c>
      <c r="G198" s="192" t="s">
        <v>659</v>
      </c>
      <c r="H198" s="177" t="s">
        <v>652</v>
      </c>
      <c r="J198" s="176" t="b">
        <f>EXACT(G198,'Vh5205_C-95'!G198)</f>
        <v>1</v>
      </c>
    </row>
    <row r="199" spans="1:10" s="7" customFormat="1" x14ac:dyDescent="0.35">
      <c r="A199" s="90">
        <v>194</v>
      </c>
      <c r="B199" s="146" t="s">
        <v>711</v>
      </c>
      <c r="C199" s="146" t="s">
        <v>13</v>
      </c>
      <c r="D199" s="146"/>
      <c r="E199" s="146" t="s">
        <v>6</v>
      </c>
      <c r="F199" s="19" t="s">
        <v>79</v>
      </c>
      <c r="G199" s="161"/>
      <c r="H199" s="177"/>
      <c r="J199" s="1" t="b">
        <f>EXACT(G199,'Vh5205_C-95'!G199)</f>
        <v>1</v>
      </c>
    </row>
    <row r="200" spans="1:10" s="7" customFormat="1" x14ac:dyDescent="0.35">
      <c r="A200" s="90">
        <v>195</v>
      </c>
      <c r="B200" s="146" t="s">
        <v>711</v>
      </c>
      <c r="C200" s="146" t="s">
        <v>14</v>
      </c>
      <c r="D200" s="146"/>
      <c r="E200" s="146" t="s">
        <v>6</v>
      </c>
      <c r="F200" s="19" t="s">
        <v>79</v>
      </c>
      <c r="G200" s="161"/>
      <c r="H200" s="177"/>
      <c r="J200" s="1" t="b">
        <f>EXACT(G200,'Vh5205_C-95'!G200)</f>
        <v>1</v>
      </c>
    </row>
    <row r="201" spans="1:10" s="7" customFormat="1" x14ac:dyDescent="0.35">
      <c r="A201" s="90">
        <v>196</v>
      </c>
      <c r="B201" s="146" t="s">
        <v>711</v>
      </c>
      <c r="C201" s="146" t="s">
        <v>19</v>
      </c>
      <c r="D201" s="146"/>
      <c r="E201" s="146" t="s">
        <v>113</v>
      </c>
      <c r="F201" s="19" t="s">
        <v>79</v>
      </c>
      <c r="G201" s="161"/>
      <c r="H201" s="177"/>
      <c r="J201" s="1" t="b">
        <f>EXACT(G201,'Vh5205_C-95'!G201)</f>
        <v>1</v>
      </c>
    </row>
    <row r="202" spans="1:10" s="7" customFormat="1" x14ac:dyDescent="0.35">
      <c r="A202" s="90">
        <v>197</v>
      </c>
      <c r="B202" s="146" t="s">
        <v>711</v>
      </c>
      <c r="C202" s="146" t="s">
        <v>20</v>
      </c>
      <c r="D202" s="146"/>
      <c r="E202" s="146" t="s">
        <v>113</v>
      </c>
      <c r="F202" s="19" t="s">
        <v>79</v>
      </c>
      <c r="G202" s="161"/>
      <c r="H202" s="177"/>
      <c r="J202" s="1" t="b">
        <f>EXACT(G202,'Vh5205_C-95'!G202)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EXACT(G203,'Vh5205_C-95'!G203)</f>
        <v>1</v>
      </c>
    </row>
    <row r="204" spans="1:10" s="7" customFormat="1" ht="17.5" x14ac:dyDescent="0.35">
      <c r="A204" s="90">
        <v>199</v>
      </c>
      <c r="B204" s="10" t="s">
        <v>713</v>
      </c>
      <c r="C204" s="10" t="s">
        <v>180</v>
      </c>
      <c r="D204" s="102" t="s">
        <v>181</v>
      </c>
      <c r="E204" s="100" t="s">
        <v>1</v>
      </c>
      <c r="F204" s="23" t="s">
        <v>26</v>
      </c>
      <c r="G204" s="161" t="s">
        <v>524</v>
      </c>
      <c r="H204" s="177"/>
      <c r="J204" s="1" t="b">
        <f>EXACT(G204,'Vh5205_C-95'!G204)</f>
        <v>0</v>
      </c>
    </row>
    <row r="205" spans="1:10" s="7" customFormat="1" x14ac:dyDescent="0.35">
      <c r="A205" s="90">
        <v>200</v>
      </c>
      <c r="B205" s="146" t="s">
        <v>713</v>
      </c>
      <c r="C205" s="146" t="s">
        <v>37</v>
      </c>
      <c r="D205" s="146" t="s">
        <v>50</v>
      </c>
      <c r="E205" s="146" t="s">
        <v>1</v>
      </c>
      <c r="F205" s="23" t="s">
        <v>26</v>
      </c>
      <c r="G205" s="216">
        <v>27</v>
      </c>
      <c r="H205" s="177"/>
      <c r="J205" s="1" t="b">
        <f>EXACT(G205,'Vh5205_C-95'!G205)</f>
        <v>0</v>
      </c>
    </row>
    <row r="206" spans="1:10" s="7" customFormat="1" ht="17.5" x14ac:dyDescent="0.35">
      <c r="A206" s="90">
        <v>201</v>
      </c>
      <c r="B206" s="87" t="s">
        <v>713</v>
      </c>
      <c r="C206" s="87" t="s">
        <v>610</v>
      </c>
      <c r="D206" s="13" t="s">
        <v>182</v>
      </c>
      <c r="E206" s="103" t="s">
        <v>1</v>
      </c>
      <c r="F206" s="24" t="s">
        <v>26</v>
      </c>
      <c r="G206" s="217">
        <v>57</v>
      </c>
      <c r="H206" s="180"/>
      <c r="J206" s="1" t="b">
        <f>EXACT(G206,'Vh5205_C-95'!G206)</f>
        <v>0</v>
      </c>
    </row>
    <row r="207" spans="1:10" s="7" customFormat="1" x14ac:dyDescent="0.35">
      <c r="A207" s="90">
        <v>202</v>
      </c>
      <c r="B207" s="5" t="s">
        <v>714</v>
      </c>
      <c r="C207" s="5" t="s">
        <v>392</v>
      </c>
      <c r="D207" s="146"/>
      <c r="E207" s="146"/>
      <c r="F207" s="23" t="s">
        <v>26</v>
      </c>
      <c r="G207" s="161" t="s">
        <v>524</v>
      </c>
      <c r="H207" s="177" t="s">
        <v>652</v>
      </c>
      <c r="J207" s="176" t="b">
        <f>EXACT(G207,'Vh5205_C-95'!G207)</f>
        <v>1</v>
      </c>
    </row>
    <row r="208" spans="1:10" s="7" customFormat="1" x14ac:dyDescent="0.35">
      <c r="A208" s="90">
        <v>203</v>
      </c>
      <c r="B208" s="146" t="s">
        <v>714</v>
      </c>
      <c r="C208" s="146" t="s">
        <v>25</v>
      </c>
      <c r="D208" s="146" t="s">
        <v>601</v>
      </c>
      <c r="E208" s="146" t="s">
        <v>1</v>
      </c>
      <c r="F208" s="19" t="s">
        <v>26</v>
      </c>
      <c r="G208" s="218">
        <v>27.4</v>
      </c>
      <c r="H208" s="177"/>
      <c r="J208" s="1" t="b">
        <f>EXACT(G208,'Vh5205_C-95'!G208)</f>
        <v>0</v>
      </c>
    </row>
    <row r="209" spans="1:10" s="7" customFormat="1" x14ac:dyDescent="0.35">
      <c r="A209" s="90">
        <v>204</v>
      </c>
      <c r="B209" s="146" t="s">
        <v>714</v>
      </c>
      <c r="C209" s="146" t="s">
        <v>33</v>
      </c>
      <c r="D209" s="146" t="s">
        <v>602</v>
      </c>
      <c r="E209" s="146" t="s">
        <v>1</v>
      </c>
      <c r="F209" s="19" t="s">
        <v>26</v>
      </c>
      <c r="G209" s="219">
        <v>0.20699999999999999</v>
      </c>
      <c r="H209" s="177"/>
      <c r="J209" s="1" t="b">
        <f>EXACT(G209,'Vh5205_C-95'!G209)</f>
        <v>0</v>
      </c>
    </row>
    <row r="210" spans="1:10" s="7" customFormat="1" ht="17.5" x14ac:dyDescent="0.35">
      <c r="A210" s="90">
        <v>205</v>
      </c>
      <c r="B210" s="146" t="s">
        <v>714</v>
      </c>
      <c r="C210" s="146" t="s">
        <v>27</v>
      </c>
      <c r="D210" s="146" t="s">
        <v>603</v>
      </c>
      <c r="E210" s="146" t="s">
        <v>1</v>
      </c>
      <c r="F210" s="19" t="s">
        <v>26</v>
      </c>
      <c r="G210" s="219">
        <v>0.20699999999999999</v>
      </c>
      <c r="H210" s="177"/>
      <c r="J210" s="1" t="b">
        <f>EXACT(G210,'Vh5205_C-95'!G210)</f>
        <v>0</v>
      </c>
    </row>
    <row r="211" spans="1:10" s="7" customFormat="1" x14ac:dyDescent="0.35">
      <c r="A211" s="90">
        <v>206</v>
      </c>
      <c r="B211" s="146" t="s">
        <v>714</v>
      </c>
      <c r="C211" s="146" t="s">
        <v>34</v>
      </c>
      <c r="D211" s="146" t="s">
        <v>604</v>
      </c>
      <c r="E211" s="146" t="s">
        <v>1</v>
      </c>
      <c r="F211" s="19" t="s">
        <v>26</v>
      </c>
      <c r="G211" s="216">
        <v>0</v>
      </c>
      <c r="H211" s="177"/>
      <c r="J211" s="1" t="b">
        <f>EXACT(G211,'Vh5205_C-95'!G211)</f>
        <v>1</v>
      </c>
    </row>
    <row r="212" spans="1:10" s="7" customFormat="1" x14ac:dyDescent="0.35">
      <c r="A212" s="90">
        <v>207</v>
      </c>
      <c r="B212" s="146" t="s">
        <v>714</v>
      </c>
      <c r="C212" s="146" t="s">
        <v>24</v>
      </c>
      <c r="D212" s="146" t="s">
        <v>605</v>
      </c>
      <c r="E212" s="146" t="s">
        <v>1</v>
      </c>
      <c r="F212" s="19" t="s">
        <v>26</v>
      </c>
      <c r="G212" s="219">
        <v>27.2</v>
      </c>
      <c r="H212" s="177"/>
      <c r="J212" s="1" t="b">
        <f>EXACT(G212,'Vh5205_C-95'!G212)</f>
        <v>0</v>
      </c>
    </row>
    <row r="213" spans="1:10" s="7" customFormat="1" ht="17.5" x14ac:dyDescent="0.35">
      <c r="A213" s="123">
        <v>208</v>
      </c>
      <c r="B213" s="87" t="s">
        <v>714</v>
      </c>
      <c r="C213" s="87" t="s">
        <v>23</v>
      </c>
      <c r="D213" s="87" t="s">
        <v>606</v>
      </c>
      <c r="E213" s="87" t="s">
        <v>1</v>
      </c>
      <c r="F213" s="22" t="s">
        <v>26</v>
      </c>
      <c r="G213" s="220">
        <v>27.2</v>
      </c>
      <c r="H213" s="180"/>
      <c r="J213" s="1" t="b">
        <f>EXACT(G213,'Vh5205_C-95'!G213)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879" priority="432" operator="equal">
      <formula>"Mandatory"</formula>
    </cfRule>
  </conditionalFormatting>
  <conditionalFormatting sqref="F4:F213">
    <cfRule type="cellIs" dxfId="878" priority="430" operator="equal">
      <formula>"Recommended"</formula>
    </cfRule>
    <cfRule type="cellIs" dxfId="877" priority="431" operator="equal">
      <formula>"Optional"</formula>
    </cfRule>
  </conditionalFormatting>
  <conditionalFormatting sqref="F4:F213">
    <cfRule type="cellIs" dxfId="876" priority="429" operator="equal">
      <formula>"Undecided"</formula>
    </cfRule>
  </conditionalFormatting>
  <conditionalFormatting sqref="G227:G232">
    <cfRule type="cellIs" dxfId="875" priority="263" operator="notEqual">
      <formula>0</formula>
    </cfRule>
  </conditionalFormatting>
  <conditionalFormatting sqref="J4:J213">
    <cfRule type="cellIs" dxfId="874" priority="93" operator="equal">
      <formula>FALSE</formula>
    </cfRule>
    <cfRule type="cellIs" dxfId="873" priority="94" operator="equal">
      <formula>"""FALSE"""</formula>
    </cfRule>
    <cfRule type="cellIs" dxfId="872" priority="95" operator="equal">
      <formula>"""FALSE"""</formula>
    </cfRule>
  </conditionalFormatting>
  <conditionalFormatting sqref="H124:H130">
    <cfRule type="cellIs" dxfId="871" priority="89" operator="equal">
      <formula>"Mandatory"</formula>
    </cfRule>
  </conditionalFormatting>
  <conditionalFormatting sqref="H124:H130">
    <cfRule type="cellIs" dxfId="870" priority="87" operator="equal">
      <formula>"Recommended"</formula>
    </cfRule>
    <cfRule type="cellIs" dxfId="869" priority="88" operator="equal">
      <formula>"Optional"</formula>
    </cfRule>
  </conditionalFormatting>
  <conditionalFormatting sqref="H124:H130">
    <cfRule type="cellIs" dxfId="868" priority="86" operator="equal">
      <formula>"Undecided"</formula>
    </cfRule>
  </conditionalFormatting>
  <conditionalFormatting sqref="G15 G177 G180 G184:G185 G188 G197:G198 G20 G44 G34:G38 G51:G53 G68 G57:G60 G83:G85 G141 G203 G212:G213 G40">
    <cfRule type="cellIs" dxfId="867" priority="85" operator="equal">
      <formula>"Mandatory"</formula>
    </cfRule>
  </conditionalFormatting>
  <conditionalFormatting sqref="G15 G177 G180 G184:G185 G188 G197:G198 G20 G44 G34:G38 G51:G53 G68 G57:G60 G83:G85 G141 G203 G212:G213 G40">
    <cfRule type="cellIs" dxfId="866" priority="83" operator="equal">
      <formula>"Not Mandatory"</formula>
    </cfRule>
    <cfRule type="cellIs" dxfId="865" priority="84" operator="equal">
      <formula>"Recommended"</formula>
    </cfRule>
  </conditionalFormatting>
  <conditionalFormatting sqref="G44 G37:G38 G52:G53 G57:G60 G85 G40">
    <cfRule type="cellIs" dxfId="864" priority="81" operator="equal">
      <formula>"Not Mandatory"</formula>
    </cfRule>
    <cfRule type="cellIs" dxfId="863" priority="82" operator="equal">
      <formula>"Recommended"</formula>
    </cfRule>
  </conditionalFormatting>
  <conditionalFormatting sqref="G44 G37:G38 G52:G53 G57:G60 G85 G40">
    <cfRule type="cellIs" dxfId="862" priority="79" operator="equal">
      <formula>"Not Mandatory"</formula>
    </cfRule>
    <cfRule type="cellIs" dxfId="861" priority="80" operator="equal">
      <formula>"Recommended"</formula>
    </cfRule>
  </conditionalFormatting>
  <conditionalFormatting sqref="G48:G49">
    <cfRule type="cellIs" dxfId="860" priority="78" operator="equal">
      <formula>"Mandatory"</formula>
    </cfRule>
  </conditionalFormatting>
  <conditionalFormatting sqref="G48:G49">
    <cfRule type="cellIs" dxfId="859" priority="76" operator="equal">
      <formula>"Not Mandatory"</formula>
    </cfRule>
    <cfRule type="cellIs" dxfId="858" priority="77" operator="equal">
      <formula>"Recommended"</formula>
    </cfRule>
  </conditionalFormatting>
  <conditionalFormatting sqref="G48:G49">
    <cfRule type="cellIs" dxfId="857" priority="74" operator="equal">
      <formula>"Not Mandatory"</formula>
    </cfRule>
    <cfRule type="cellIs" dxfId="856" priority="75" operator="equal">
      <formula>"Recommended"</formula>
    </cfRule>
  </conditionalFormatting>
  <conditionalFormatting sqref="G48:G49">
    <cfRule type="cellIs" dxfId="855" priority="72" operator="equal">
      <formula>"Not Mandatory"</formula>
    </cfRule>
    <cfRule type="cellIs" dxfId="854" priority="73" operator="equal">
      <formula>"Recommended"</formula>
    </cfRule>
  </conditionalFormatting>
  <conditionalFormatting sqref="G69">
    <cfRule type="cellIs" dxfId="853" priority="71" operator="equal">
      <formula>"Mandatory"</formula>
    </cfRule>
  </conditionalFormatting>
  <conditionalFormatting sqref="G69">
    <cfRule type="cellIs" dxfId="852" priority="69" operator="equal">
      <formula>"Not Mandatory"</formula>
    </cfRule>
    <cfRule type="cellIs" dxfId="851" priority="70" operator="equal">
      <formula>"Recommended"</formula>
    </cfRule>
  </conditionalFormatting>
  <conditionalFormatting sqref="G86">
    <cfRule type="cellIs" dxfId="850" priority="68" operator="equal">
      <formula>"Mandatory"</formula>
    </cfRule>
  </conditionalFormatting>
  <conditionalFormatting sqref="G86">
    <cfRule type="cellIs" dxfId="849" priority="66" operator="equal">
      <formula>"Not Mandatory"</formula>
    </cfRule>
    <cfRule type="cellIs" dxfId="848" priority="67" operator="equal">
      <formula>"Recommended"</formula>
    </cfRule>
  </conditionalFormatting>
  <conditionalFormatting sqref="G86">
    <cfRule type="cellIs" dxfId="847" priority="64" operator="equal">
      <formula>"Not Mandatory"</formula>
    </cfRule>
    <cfRule type="cellIs" dxfId="846" priority="65" operator="equal">
      <formula>"Recommended"</formula>
    </cfRule>
  </conditionalFormatting>
  <conditionalFormatting sqref="G86">
    <cfRule type="cellIs" dxfId="845" priority="62" operator="equal">
      <formula>"Not Mandatory"</formula>
    </cfRule>
    <cfRule type="cellIs" dxfId="844" priority="63" operator="equal">
      <formula>"Recommended"</formula>
    </cfRule>
  </conditionalFormatting>
  <conditionalFormatting sqref="G9:G13">
    <cfRule type="cellIs" dxfId="843" priority="61" operator="equal">
      <formula>"Mandatory"</formula>
    </cfRule>
  </conditionalFormatting>
  <conditionalFormatting sqref="G9:G13">
    <cfRule type="cellIs" dxfId="842" priority="59" operator="equal">
      <formula>"Not Mandatory"</formula>
    </cfRule>
    <cfRule type="cellIs" dxfId="841" priority="60" operator="equal">
      <formula>"Recommended"</formula>
    </cfRule>
  </conditionalFormatting>
  <conditionalFormatting sqref="G31:G33">
    <cfRule type="cellIs" dxfId="840" priority="58" operator="equal">
      <formula>"Mandatory"</formula>
    </cfRule>
  </conditionalFormatting>
  <conditionalFormatting sqref="G31:G33">
    <cfRule type="cellIs" dxfId="839" priority="56" operator="equal">
      <formula>"Not Mandatory"</formula>
    </cfRule>
    <cfRule type="cellIs" dxfId="838" priority="57" operator="equal">
      <formula>"Recommended"</formula>
    </cfRule>
  </conditionalFormatting>
  <conditionalFormatting sqref="G31:G33">
    <cfRule type="cellIs" dxfId="837" priority="54" operator="equal">
      <formula>"Not Mandatory"</formula>
    </cfRule>
    <cfRule type="cellIs" dxfId="836" priority="55" operator="equal">
      <formula>"Recommended"</formula>
    </cfRule>
  </conditionalFormatting>
  <conditionalFormatting sqref="G31:G33">
    <cfRule type="cellIs" dxfId="835" priority="52" operator="equal">
      <formula>"Not Mandatory"</formula>
    </cfRule>
    <cfRule type="cellIs" dxfId="834" priority="53" operator="equal">
      <formula>"Recommended"</formula>
    </cfRule>
  </conditionalFormatting>
  <conditionalFormatting sqref="G41">
    <cfRule type="cellIs" dxfId="833" priority="51" operator="equal">
      <formula>"Mandatory"</formula>
    </cfRule>
  </conditionalFormatting>
  <conditionalFormatting sqref="G41">
    <cfRule type="cellIs" dxfId="832" priority="49" operator="equal">
      <formula>"Not Mandatory"</formula>
    </cfRule>
    <cfRule type="cellIs" dxfId="831" priority="50" operator="equal">
      <formula>"Recommended"</formula>
    </cfRule>
  </conditionalFormatting>
  <conditionalFormatting sqref="G41">
    <cfRule type="cellIs" dxfId="830" priority="47" operator="equal">
      <formula>"Not Mandatory"</formula>
    </cfRule>
    <cfRule type="cellIs" dxfId="829" priority="48" operator="equal">
      <formula>"Recommended"</formula>
    </cfRule>
  </conditionalFormatting>
  <conditionalFormatting sqref="G41">
    <cfRule type="cellIs" dxfId="828" priority="45" operator="equal">
      <formula>"Not Mandatory"</formula>
    </cfRule>
    <cfRule type="cellIs" dxfId="827" priority="46" operator="equal">
      <formula>"Recommended"</formula>
    </cfRule>
  </conditionalFormatting>
  <conditionalFormatting sqref="G90">
    <cfRule type="cellIs" dxfId="826" priority="44" operator="equal">
      <formula>"Mandatory"</formula>
    </cfRule>
  </conditionalFormatting>
  <conditionalFormatting sqref="G90">
    <cfRule type="cellIs" dxfId="825" priority="42" operator="equal">
      <formula>"Not Mandatory"</formula>
    </cfRule>
    <cfRule type="cellIs" dxfId="824" priority="43" operator="equal">
      <formula>"Recommended"</formula>
    </cfRule>
  </conditionalFormatting>
  <conditionalFormatting sqref="G122">
    <cfRule type="cellIs" dxfId="823" priority="41" operator="equal">
      <formula>"Mandatory"</formula>
    </cfRule>
  </conditionalFormatting>
  <conditionalFormatting sqref="G122">
    <cfRule type="cellIs" dxfId="822" priority="39" operator="equal">
      <formula>"Not Mandatory"</formula>
    </cfRule>
    <cfRule type="cellIs" dxfId="821" priority="40" operator="equal">
      <formula>"Recommended"</formula>
    </cfRule>
  </conditionalFormatting>
  <conditionalFormatting sqref="G119">
    <cfRule type="cellIs" dxfId="820" priority="38" operator="equal">
      <formula>"Mandatory"</formula>
    </cfRule>
  </conditionalFormatting>
  <conditionalFormatting sqref="G119">
    <cfRule type="cellIs" dxfId="819" priority="36" operator="equal">
      <formula>"Not Mandatory"</formula>
    </cfRule>
    <cfRule type="cellIs" dxfId="818" priority="37" operator="equal">
      <formula>"Recommended"</formula>
    </cfRule>
  </conditionalFormatting>
  <conditionalFormatting sqref="G109">
    <cfRule type="cellIs" dxfId="817" priority="35" operator="equal">
      <formula>"Mandatory"</formula>
    </cfRule>
  </conditionalFormatting>
  <conditionalFormatting sqref="G109">
    <cfRule type="cellIs" dxfId="816" priority="33" operator="equal">
      <formula>"Not Mandatory"</formula>
    </cfRule>
    <cfRule type="cellIs" dxfId="815" priority="34" operator="equal">
      <formula>"Recommended"</formula>
    </cfRule>
  </conditionalFormatting>
  <conditionalFormatting sqref="G130">
    <cfRule type="cellIs" dxfId="814" priority="32" operator="equal">
      <formula>"Mandatory"</formula>
    </cfRule>
  </conditionalFormatting>
  <conditionalFormatting sqref="G130">
    <cfRule type="cellIs" dxfId="813" priority="30" operator="equal">
      <formula>"Not Mandatory"</formula>
    </cfRule>
    <cfRule type="cellIs" dxfId="812" priority="31" operator="equal">
      <formula>"Recommended"</formula>
    </cfRule>
  </conditionalFormatting>
  <conditionalFormatting sqref="G125">
    <cfRule type="cellIs" dxfId="811" priority="29" operator="equal">
      <formula>"Mandatory"</formula>
    </cfRule>
  </conditionalFormatting>
  <conditionalFormatting sqref="G125">
    <cfRule type="cellIs" dxfId="810" priority="27" operator="equal">
      <formula>"Not Mandatory"</formula>
    </cfRule>
    <cfRule type="cellIs" dxfId="809" priority="28" operator="equal">
      <formula>"Recommended"</formula>
    </cfRule>
  </conditionalFormatting>
  <conditionalFormatting sqref="G127:G129">
    <cfRule type="cellIs" dxfId="808" priority="26" operator="equal">
      <formula>"Mandatory"</formula>
    </cfRule>
  </conditionalFormatting>
  <conditionalFormatting sqref="G127:G129">
    <cfRule type="cellIs" dxfId="807" priority="24" operator="equal">
      <formula>"Not Mandatory"</formula>
    </cfRule>
    <cfRule type="cellIs" dxfId="806" priority="25" operator="equal">
      <formula>"Recommended"</formula>
    </cfRule>
  </conditionalFormatting>
  <conditionalFormatting sqref="G135:G136">
    <cfRule type="cellIs" dxfId="805" priority="23" operator="equal">
      <formula>"Mandatory"</formula>
    </cfRule>
  </conditionalFormatting>
  <conditionalFormatting sqref="G135:G136">
    <cfRule type="cellIs" dxfId="804" priority="21" operator="equal">
      <formula>"Not Mandatory"</formula>
    </cfRule>
    <cfRule type="cellIs" dxfId="803" priority="22" operator="equal">
      <formula>"Recommended"</formula>
    </cfRule>
  </conditionalFormatting>
  <conditionalFormatting sqref="G154">
    <cfRule type="cellIs" dxfId="802" priority="20" operator="equal">
      <formula>"Mandatory"</formula>
    </cfRule>
  </conditionalFormatting>
  <conditionalFormatting sqref="G154">
    <cfRule type="cellIs" dxfId="801" priority="18" operator="equal">
      <formula>"Not Mandatory"</formula>
    </cfRule>
    <cfRule type="cellIs" dxfId="800" priority="19" operator="equal">
      <formula>"Recommended"</formula>
    </cfRule>
  </conditionalFormatting>
  <conditionalFormatting sqref="G162">
    <cfRule type="cellIs" dxfId="799" priority="17" operator="equal">
      <formula>"Mandatory"</formula>
    </cfRule>
  </conditionalFormatting>
  <conditionalFormatting sqref="G162">
    <cfRule type="cellIs" dxfId="798" priority="15" operator="equal">
      <formula>"Not Mandatory"</formula>
    </cfRule>
    <cfRule type="cellIs" dxfId="797" priority="16" operator="equal">
      <formula>"Recommended"</formula>
    </cfRule>
  </conditionalFormatting>
  <conditionalFormatting sqref="G66">
    <cfRule type="cellIs" dxfId="796" priority="14" operator="equal">
      <formula>"Mandatory"</formula>
    </cfRule>
  </conditionalFormatting>
  <conditionalFormatting sqref="G66">
    <cfRule type="cellIs" dxfId="795" priority="12" operator="equal">
      <formula>"Not Mandatory"</formula>
    </cfRule>
    <cfRule type="cellIs" dxfId="794" priority="13" operator="equal">
      <formula>"Recommended"</formula>
    </cfRule>
  </conditionalFormatting>
  <conditionalFormatting sqref="G66">
    <cfRule type="cellIs" dxfId="793" priority="10" operator="equal">
      <formula>"Not Mandatory"</formula>
    </cfRule>
    <cfRule type="cellIs" dxfId="792" priority="11" operator="equal">
      <formula>"Recommended"</formula>
    </cfRule>
  </conditionalFormatting>
  <conditionalFormatting sqref="G66">
    <cfRule type="cellIs" dxfId="791" priority="8" operator="equal">
      <formula>"Not Mandatory"</formula>
    </cfRule>
    <cfRule type="cellIs" dxfId="790" priority="9" operator="equal">
      <formula>"Recommended"</formula>
    </cfRule>
  </conditionalFormatting>
  <conditionalFormatting sqref="G39">
    <cfRule type="cellIs" dxfId="789" priority="7" operator="equal">
      <formula>"Mandatory"</formula>
    </cfRule>
  </conditionalFormatting>
  <conditionalFormatting sqref="G39">
    <cfRule type="cellIs" dxfId="788" priority="5" operator="equal">
      <formula>"Not Mandatory"</formula>
    </cfRule>
    <cfRule type="cellIs" dxfId="787" priority="6" operator="equal">
      <formula>"Recommended"</formula>
    </cfRule>
  </conditionalFormatting>
  <conditionalFormatting sqref="G39">
    <cfRule type="cellIs" dxfId="786" priority="3" operator="equal">
      <formula>"Not Mandatory"</formula>
    </cfRule>
    <cfRule type="cellIs" dxfId="785" priority="4" operator="equal">
      <formula>"Recommended"</formula>
    </cfRule>
  </conditionalFormatting>
  <conditionalFormatting sqref="G39">
    <cfRule type="cellIs" dxfId="784" priority="1" operator="equal">
      <formula>"Not Mandatory"</formula>
    </cfRule>
    <cfRule type="cellIs" dxfId="783" priority="2" operator="equal">
      <formula>"Recommended"</formula>
    </cfRule>
  </conditionalFormatting>
  <dataValidations count="1">
    <dataValidation type="list" allowBlank="1" showInputMessage="1" showErrorMessage="1" sqref="F4:F213" xr:uid="{19513B35-5315-4E00-A4EF-246751A3F76D}">
      <formula1>$F$1:$F$2</formula1>
    </dataValidation>
  </dataValidations>
  <pageMargins left="0.7" right="0.7" top="0.75" bottom="0.75" header="0.3" footer="0.3"/>
  <pageSetup paperSize="66" scale="3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793C-E237-4BE4-92FB-46FB6CEF7278}">
  <sheetPr codeName="Sheet6">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45019.388124999998</v>
      </c>
      <c r="H4" s="162"/>
      <c r="J4" s="2" t="b">
        <f>EXACT(G4,'Vh5205_C-81'!G4)</f>
        <v>0</v>
      </c>
    </row>
    <row r="5" spans="1:10" x14ac:dyDescent="0.35">
      <c r="A5" s="90">
        <v>2</v>
      </c>
      <c r="B5" s="10" t="s">
        <v>685</v>
      </c>
      <c r="C5" s="10" t="s">
        <v>55</v>
      </c>
      <c r="D5" s="146"/>
      <c r="E5" s="146"/>
      <c r="F5" s="19" t="s">
        <v>26</v>
      </c>
      <c r="G5" s="202">
        <v>45039.888124999998</v>
      </c>
      <c r="H5" s="58"/>
      <c r="J5" s="2" t="b">
        <f>EXACT(G5,'Vh5205_C-81'!G5)</f>
        <v>0</v>
      </c>
    </row>
    <row r="6" spans="1:10" x14ac:dyDescent="0.35">
      <c r="A6" s="90">
        <v>3</v>
      </c>
      <c r="B6" s="146" t="s">
        <v>685</v>
      </c>
      <c r="C6" s="146" t="s">
        <v>41</v>
      </c>
      <c r="D6" s="146"/>
      <c r="E6" s="146"/>
      <c r="F6" s="19" t="s">
        <v>26</v>
      </c>
      <c r="G6" s="161" t="s">
        <v>509</v>
      </c>
      <c r="H6" s="58"/>
      <c r="J6" s="2" t="b">
        <f>EXACT(G6,'Vh5205_C-81'!G6)</f>
        <v>0</v>
      </c>
    </row>
    <row r="7" spans="1:10" x14ac:dyDescent="0.35">
      <c r="A7" s="90">
        <v>4</v>
      </c>
      <c r="B7" s="146" t="s">
        <v>685</v>
      </c>
      <c r="C7" s="146" t="s">
        <v>7</v>
      </c>
      <c r="D7" s="146"/>
      <c r="E7" s="146"/>
      <c r="F7" s="19" t="s">
        <v>79</v>
      </c>
      <c r="G7" s="192" t="s">
        <v>499</v>
      </c>
      <c r="H7" s="53" t="s">
        <v>652</v>
      </c>
      <c r="J7" s="176" t="b">
        <f>EXACT(G7,'Vh5205_C-81'!G7)</f>
        <v>1</v>
      </c>
    </row>
    <row r="8" spans="1:10" x14ac:dyDescent="0.35">
      <c r="A8" s="90">
        <v>5</v>
      </c>
      <c r="B8" s="87" t="s">
        <v>685</v>
      </c>
      <c r="C8" s="87" t="s">
        <v>39</v>
      </c>
      <c r="D8" s="87"/>
      <c r="E8" s="87"/>
      <c r="F8" s="22" t="s">
        <v>79</v>
      </c>
      <c r="G8" s="194" t="s">
        <v>524</v>
      </c>
      <c r="H8" s="181" t="s">
        <v>652</v>
      </c>
      <c r="J8" s="176" t="b">
        <f>EXACT(G8,'Vh5205_C-81'!G8)</f>
        <v>1</v>
      </c>
    </row>
    <row r="9" spans="1:10" x14ac:dyDescent="0.35">
      <c r="A9" s="90">
        <v>6</v>
      </c>
      <c r="B9" s="10" t="s">
        <v>686</v>
      </c>
      <c r="C9" s="10" t="s">
        <v>301</v>
      </c>
      <c r="D9" s="10"/>
      <c r="E9" s="10"/>
      <c r="F9" s="19" t="s">
        <v>26</v>
      </c>
      <c r="G9" s="192" t="s">
        <v>196</v>
      </c>
      <c r="H9" s="163" t="s">
        <v>652</v>
      </c>
      <c r="J9" s="176" t="b">
        <f>EXACT(G9,'Vh5205_C-81'!G9)</f>
        <v>1</v>
      </c>
    </row>
    <row r="10" spans="1:10" x14ac:dyDescent="0.35">
      <c r="A10" s="90">
        <v>7</v>
      </c>
      <c r="B10" s="10" t="s">
        <v>686</v>
      </c>
      <c r="C10" s="10" t="s">
        <v>302</v>
      </c>
      <c r="D10" s="94"/>
      <c r="E10" s="146"/>
      <c r="F10" s="19" t="s">
        <v>26</v>
      </c>
      <c r="G10" s="161" t="s">
        <v>523</v>
      </c>
      <c r="H10" s="140" t="s">
        <v>652</v>
      </c>
      <c r="J10" s="176" t="b">
        <f>EXACT(G10,'Vh5205_C-81'!G10)</f>
        <v>1</v>
      </c>
    </row>
    <row r="11" spans="1:10" x14ac:dyDescent="0.35">
      <c r="A11" s="90">
        <v>8</v>
      </c>
      <c r="B11" s="146" t="s">
        <v>686</v>
      </c>
      <c r="C11" s="146" t="s">
        <v>134</v>
      </c>
      <c r="D11" s="146" t="s">
        <v>15</v>
      </c>
      <c r="E11" s="146" t="s">
        <v>85</v>
      </c>
      <c r="F11" s="19" t="s">
        <v>26</v>
      </c>
      <c r="G11" s="192" t="s">
        <v>197</v>
      </c>
      <c r="H11" s="53" t="s">
        <v>652</v>
      </c>
      <c r="J11" s="176" t="b">
        <f>EXACT(G11,'Vh5205_C-81'!G11)</f>
        <v>1</v>
      </c>
    </row>
    <row r="12" spans="1:10" x14ac:dyDescent="0.35">
      <c r="A12" s="90">
        <v>9</v>
      </c>
      <c r="B12" s="10" t="s">
        <v>686</v>
      </c>
      <c r="C12" s="10" t="s">
        <v>310</v>
      </c>
      <c r="D12" s="146"/>
      <c r="E12" s="146"/>
      <c r="F12" s="19" t="s">
        <v>26</v>
      </c>
      <c r="G12" s="192" t="s">
        <v>198</v>
      </c>
      <c r="H12" s="53" t="s">
        <v>652</v>
      </c>
      <c r="J12" s="176" t="b">
        <f>EXACT(G12,'Vh5205_C-81'!G12)</f>
        <v>1</v>
      </c>
    </row>
    <row r="13" spans="1:10" x14ac:dyDescent="0.35">
      <c r="A13" s="90">
        <v>10</v>
      </c>
      <c r="B13" s="10" t="s">
        <v>686</v>
      </c>
      <c r="C13" s="10" t="s">
        <v>311</v>
      </c>
      <c r="D13" s="146"/>
      <c r="E13" s="146"/>
      <c r="F13" s="19" t="s">
        <v>26</v>
      </c>
      <c r="G13" s="192" t="s">
        <v>199</v>
      </c>
      <c r="H13" s="53" t="s">
        <v>652</v>
      </c>
      <c r="J13" s="176" t="b">
        <f>EXACT(G13,'Vh5205_C-81'!G13)</f>
        <v>1</v>
      </c>
    </row>
    <row r="14" spans="1:10" ht="17.5" x14ac:dyDescent="0.35">
      <c r="A14" s="90">
        <v>11</v>
      </c>
      <c r="B14" s="10" t="s">
        <v>686</v>
      </c>
      <c r="C14" s="10" t="s">
        <v>123</v>
      </c>
      <c r="D14" s="146" t="s">
        <v>557</v>
      </c>
      <c r="E14" s="146" t="s">
        <v>4</v>
      </c>
      <c r="F14" s="19" t="s">
        <v>26</v>
      </c>
      <c r="G14" s="161">
        <v>170</v>
      </c>
      <c r="H14" s="140"/>
      <c r="J14" s="1" t="b">
        <f>EXACT(G14,'Vh5205_C-81'!G14)</f>
        <v>1</v>
      </c>
    </row>
    <row r="15" spans="1:10" x14ac:dyDescent="0.35">
      <c r="A15" s="90">
        <v>12</v>
      </c>
      <c r="B15" s="146" t="s">
        <v>686</v>
      </c>
      <c r="C15" s="146" t="s">
        <v>116</v>
      </c>
      <c r="D15" s="146"/>
      <c r="E15" s="146"/>
      <c r="F15" s="19" t="s">
        <v>26</v>
      </c>
      <c r="G15" s="161" t="s">
        <v>684</v>
      </c>
      <c r="H15" s="53" t="s">
        <v>652</v>
      </c>
      <c r="J15" s="176" t="b">
        <f>EXACT(G15,'Vh5205_C-81'!G15)</f>
        <v>1</v>
      </c>
    </row>
    <row r="16" spans="1:10" x14ac:dyDescent="0.35">
      <c r="A16" s="90">
        <v>13</v>
      </c>
      <c r="B16" s="10" t="s">
        <v>686</v>
      </c>
      <c r="C16" s="10" t="s">
        <v>408</v>
      </c>
      <c r="D16" s="146"/>
      <c r="E16" s="146"/>
      <c r="F16" s="19" t="s">
        <v>26</v>
      </c>
      <c r="G16" s="161" t="s">
        <v>519</v>
      </c>
      <c r="H16" s="140"/>
      <c r="J16" s="1" t="b">
        <f>EXACT(G16,'Vh5205_C-81'!G16)</f>
        <v>1</v>
      </c>
    </row>
    <row r="17" spans="1:10" x14ac:dyDescent="0.35">
      <c r="A17" s="90">
        <v>14</v>
      </c>
      <c r="B17" s="10" t="s">
        <v>686</v>
      </c>
      <c r="C17" s="10" t="s">
        <v>409</v>
      </c>
      <c r="D17" s="146"/>
      <c r="E17" s="146"/>
      <c r="F17" s="19" t="s">
        <v>26</v>
      </c>
      <c r="G17" s="161" t="s">
        <v>524</v>
      </c>
      <c r="H17" s="140"/>
      <c r="J17" s="1" t="b">
        <f>EXACT(G17,'Vh5205_C-81'!G17)</f>
        <v>1</v>
      </c>
    </row>
    <row r="18" spans="1:10" s="7" customFormat="1" x14ac:dyDescent="0.35">
      <c r="A18" s="90">
        <v>15</v>
      </c>
      <c r="B18" s="146" t="s">
        <v>686</v>
      </c>
      <c r="C18" s="146" t="s">
        <v>177</v>
      </c>
      <c r="D18" s="146"/>
      <c r="E18" s="146"/>
      <c r="F18" s="19" t="s">
        <v>26</v>
      </c>
      <c r="G18" s="161" t="s">
        <v>524</v>
      </c>
      <c r="H18" s="177"/>
      <c r="J18" s="1" t="b">
        <f>EXACT(G18,'Vh5205_C-81'!G18)</f>
        <v>1</v>
      </c>
    </row>
    <row r="19" spans="1:10" x14ac:dyDescent="0.35">
      <c r="A19" s="90">
        <v>16</v>
      </c>
      <c r="B19" s="10" t="s">
        <v>686</v>
      </c>
      <c r="C19" s="10" t="s">
        <v>124</v>
      </c>
      <c r="D19" s="146"/>
      <c r="E19" s="146" t="s">
        <v>0</v>
      </c>
      <c r="F19" s="19" t="s">
        <v>79</v>
      </c>
      <c r="G19" s="203"/>
      <c r="H19" s="140"/>
      <c r="J19" s="1" t="b">
        <f>EXACT(G19,'Vh5205_C-81'!G19)</f>
        <v>1</v>
      </c>
    </row>
    <row r="20" spans="1:10" x14ac:dyDescent="0.35">
      <c r="A20" s="90">
        <v>17</v>
      </c>
      <c r="B20" s="10" t="s">
        <v>686</v>
      </c>
      <c r="C20" s="10" t="s">
        <v>188</v>
      </c>
      <c r="D20" s="146"/>
      <c r="E20" s="146" t="s">
        <v>0</v>
      </c>
      <c r="F20" s="19" t="s">
        <v>26</v>
      </c>
      <c r="G20" s="193" t="s">
        <v>618</v>
      </c>
      <c r="H20" s="140" t="s">
        <v>652</v>
      </c>
      <c r="J20" s="176" t="b">
        <f>EXACT(G20,'Vh5205_C-81'!G20)</f>
        <v>1</v>
      </c>
    </row>
    <row r="21" spans="1:10" x14ac:dyDescent="0.35">
      <c r="A21" s="90">
        <v>18</v>
      </c>
      <c r="B21" s="13" t="s">
        <v>686</v>
      </c>
      <c r="C21" s="13" t="s">
        <v>131</v>
      </c>
      <c r="D21" s="87"/>
      <c r="E21" s="87"/>
      <c r="F21" s="22" t="s">
        <v>79</v>
      </c>
      <c r="G21" s="196"/>
      <c r="H21" s="182"/>
      <c r="J21" s="1" t="b">
        <f>EXACT(G21,'Vh5205_C-81'!G21)</f>
        <v>1</v>
      </c>
    </row>
    <row r="22" spans="1:10" x14ac:dyDescent="0.35">
      <c r="A22" s="90">
        <v>19</v>
      </c>
      <c r="B22" s="146" t="s">
        <v>687</v>
      </c>
      <c r="C22" s="146" t="s">
        <v>65</v>
      </c>
      <c r="D22" s="146"/>
      <c r="E22" s="146"/>
      <c r="F22" s="19" t="s">
        <v>79</v>
      </c>
      <c r="G22" s="192" t="s">
        <v>48</v>
      </c>
      <c r="H22" s="53" t="s">
        <v>652</v>
      </c>
      <c r="J22" s="176" t="b">
        <f>EXACT(G22,'Vh5205_C-81'!G22)</f>
        <v>1</v>
      </c>
    </row>
    <row r="23" spans="1:10" x14ac:dyDescent="0.35">
      <c r="A23" s="90">
        <v>20</v>
      </c>
      <c r="B23" s="146" t="s">
        <v>687</v>
      </c>
      <c r="C23" s="146" t="s">
        <v>69</v>
      </c>
      <c r="D23" s="146"/>
      <c r="E23" s="146"/>
      <c r="F23" s="19" t="s">
        <v>79</v>
      </c>
      <c r="G23" s="161"/>
      <c r="H23" s="140"/>
      <c r="J23" s="1" t="b">
        <f>EXACT(G23,'Vh5205_C-81'!G23)</f>
        <v>1</v>
      </c>
    </row>
    <row r="24" spans="1:10" x14ac:dyDescent="0.35">
      <c r="A24" s="90">
        <v>21</v>
      </c>
      <c r="B24" s="146" t="s">
        <v>687</v>
      </c>
      <c r="C24" s="146" t="s">
        <v>70</v>
      </c>
      <c r="D24" s="146"/>
      <c r="E24" s="146"/>
      <c r="F24" s="19" t="s">
        <v>79</v>
      </c>
      <c r="G24" s="161"/>
      <c r="H24" s="140"/>
      <c r="J24" s="1" t="b">
        <f>EXACT(G24,'Vh5205_C-81'!G24)</f>
        <v>1</v>
      </c>
    </row>
    <row r="25" spans="1:10" x14ac:dyDescent="0.35">
      <c r="A25" s="90">
        <v>22</v>
      </c>
      <c r="B25" s="146" t="s">
        <v>687</v>
      </c>
      <c r="C25" s="146" t="s">
        <v>71</v>
      </c>
      <c r="D25" s="146"/>
      <c r="E25" s="146"/>
      <c r="F25" s="19" t="s">
        <v>79</v>
      </c>
      <c r="G25" s="161"/>
      <c r="H25" s="140"/>
      <c r="J25" s="1" t="b">
        <f>EXACT(G25,'Vh5205_C-81'!G25)</f>
        <v>1</v>
      </c>
    </row>
    <row r="26" spans="1:10" x14ac:dyDescent="0.35">
      <c r="A26" s="90">
        <v>23</v>
      </c>
      <c r="B26" s="146" t="s">
        <v>687</v>
      </c>
      <c r="C26" s="146" t="s">
        <v>72</v>
      </c>
      <c r="D26" s="146"/>
      <c r="E26" s="146"/>
      <c r="F26" s="19" t="s">
        <v>79</v>
      </c>
      <c r="G26" s="161"/>
      <c r="H26" s="140"/>
      <c r="J26" s="1" t="b">
        <f>EXACT(G26,'Vh5205_C-81'!G26)</f>
        <v>1</v>
      </c>
    </row>
    <row r="27" spans="1:10" x14ac:dyDescent="0.35">
      <c r="A27" s="90">
        <v>24</v>
      </c>
      <c r="B27" s="146" t="s">
        <v>687</v>
      </c>
      <c r="C27" s="146" t="s">
        <v>81</v>
      </c>
      <c r="D27" s="146"/>
      <c r="E27" s="146"/>
      <c r="F27" s="19" t="s">
        <v>79</v>
      </c>
      <c r="G27" s="161"/>
      <c r="H27" s="140"/>
      <c r="J27" s="1" t="b">
        <f>EXACT(G27,'Vh5205_C-81'!G27)</f>
        <v>1</v>
      </c>
    </row>
    <row r="28" spans="1:10" x14ac:dyDescent="0.35">
      <c r="A28" s="90">
        <v>25</v>
      </c>
      <c r="B28" s="146" t="s">
        <v>687</v>
      </c>
      <c r="C28" s="146" t="s">
        <v>82</v>
      </c>
      <c r="D28" s="146"/>
      <c r="E28" s="146"/>
      <c r="F28" s="22" t="s">
        <v>79</v>
      </c>
      <c r="G28" s="196"/>
      <c r="H28" s="182"/>
      <c r="J28" s="1" t="b">
        <f>EXACT(G28,'Vh5205_C-81'!G28)</f>
        <v>1</v>
      </c>
    </row>
    <row r="29" spans="1:10" x14ac:dyDescent="0.35">
      <c r="A29" s="90">
        <v>26</v>
      </c>
      <c r="B29" s="99" t="s">
        <v>688</v>
      </c>
      <c r="C29" s="99" t="s">
        <v>312</v>
      </c>
      <c r="D29" s="100"/>
      <c r="E29" s="100"/>
      <c r="F29" s="18" t="s">
        <v>26</v>
      </c>
      <c r="G29" s="196" t="s">
        <v>200</v>
      </c>
      <c r="H29" s="182" t="s">
        <v>652</v>
      </c>
      <c r="J29" s="176" t="b">
        <f>EXACT(G29,'Vh5205_C-81'!G29)</f>
        <v>1</v>
      </c>
    </row>
    <row r="30" spans="1:10" x14ac:dyDescent="0.35">
      <c r="A30" s="90">
        <v>27</v>
      </c>
      <c r="B30" s="102" t="s">
        <v>689</v>
      </c>
      <c r="C30" s="102" t="s">
        <v>147</v>
      </c>
      <c r="D30" s="100"/>
      <c r="E30" s="100"/>
      <c r="F30" s="18" t="s">
        <v>79</v>
      </c>
      <c r="G30" s="161"/>
      <c r="H30" s="140"/>
      <c r="J30" s="1" t="b">
        <f>EXACT(G30,'Vh5205_C-81'!G30)</f>
        <v>1</v>
      </c>
    </row>
    <row r="31" spans="1:10" s="7" customFormat="1" ht="31" x14ac:dyDescent="0.35">
      <c r="A31" s="90">
        <v>28</v>
      </c>
      <c r="B31" s="10" t="s">
        <v>689</v>
      </c>
      <c r="C31" s="10" t="s">
        <v>324</v>
      </c>
      <c r="D31" s="146"/>
      <c r="E31" s="10"/>
      <c r="F31" s="19" t="s">
        <v>26</v>
      </c>
      <c r="G31" s="161" t="s">
        <v>460</v>
      </c>
      <c r="H31" s="177" t="s">
        <v>652</v>
      </c>
      <c r="J31" s="176" t="b">
        <f>EXACT(G31,'Vh5205_C-81'!G31)</f>
        <v>1</v>
      </c>
    </row>
    <row r="32" spans="1:10" s="7" customFormat="1" x14ac:dyDescent="0.35">
      <c r="A32" s="90">
        <v>29</v>
      </c>
      <c r="B32" s="10" t="s">
        <v>689</v>
      </c>
      <c r="C32" s="10" t="s">
        <v>303</v>
      </c>
      <c r="D32" s="146"/>
      <c r="E32" s="10"/>
      <c r="F32" s="19" t="s">
        <v>26</v>
      </c>
      <c r="G32" s="161" t="s">
        <v>461</v>
      </c>
      <c r="H32" s="177" t="s">
        <v>652</v>
      </c>
      <c r="J32" s="176" t="b">
        <f>EXACT(G32,'Vh5205_C-81'!G32)</f>
        <v>1</v>
      </c>
    </row>
    <row r="33" spans="1:10" ht="31" x14ac:dyDescent="0.35">
      <c r="A33" s="90">
        <v>30</v>
      </c>
      <c r="B33" s="10" t="s">
        <v>689</v>
      </c>
      <c r="C33" s="10" t="s">
        <v>304</v>
      </c>
      <c r="D33" s="146"/>
      <c r="E33" s="146"/>
      <c r="F33" s="19" t="s">
        <v>79</v>
      </c>
      <c r="G33" s="161" t="s">
        <v>285</v>
      </c>
      <c r="H33" s="140" t="s">
        <v>652</v>
      </c>
      <c r="J33" s="176" t="b">
        <f>EXACT(G33,'Vh5205_C-81'!G33)</f>
        <v>1</v>
      </c>
    </row>
    <row r="34" spans="1:10" x14ac:dyDescent="0.35">
      <c r="A34" s="90">
        <v>31</v>
      </c>
      <c r="B34" s="10" t="s">
        <v>689</v>
      </c>
      <c r="C34" s="10" t="s">
        <v>83</v>
      </c>
      <c r="D34" s="146"/>
      <c r="E34" s="146" t="s">
        <v>85</v>
      </c>
      <c r="F34" s="19" t="s">
        <v>79</v>
      </c>
      <c r="G34" s="192"/>
      <c r="H34" s="140"/>
      <c r="J34" s="1" t="b">
        <f>EXACT(G34,'Vh5205_C-81'!G34)</f>
        <v>1</v>
      </c>
    </row>
    <row r="35" spans="1:10" x14ac:dyDescent="0.35">
      <c r="A35" s="90">
        <v>32</v>
      </c>
      <c r="B35" s="10" t="s">
        <v>689</v>
      </c>
      <c r="C35" s="10" t="s">
        <v>84</v>
      </c>
      <c r="D35" s="146"/>
      <c r="E35" s="146"/>
      <c r="F35" s="19" t="s">
        <v>79</v>
      </c>
      <c r="G35" s="192"/>
      <c r="H35" s="140"/>
      <c r="J35" s="1" t="b">
        <f>EXACT(G35,'Vh5205_C-81'!G35)</f>
        <v>1</v>
      </c>
    </row>
    <row r="36" spans="1:10" x14ac:dyDescent="0.35">
      <c r="A36" s="90">
        <v>33</v>
      </c>
      <c r="B36" s="10" t="s">
        <v>689</v>
      </c>
      <c r="C36" s="10" t="s">
        <v>61</v>
      </c>
      <c r="D36" s="146"/>
      <c r="E36" s="146"/>
      <c r="F36" s="19" t="s">
        <v>26</v>
      </c>
      <c r="G36" s="192" t="s">
        <v>611</v>
      </c>
      <c r="H36" s="140" t="s">
        <v>652</v>
      </c>
      <c r="J36" s="176" t="b">
        <f>EXACT(G36,'Vh5205_C-81'!G36)</f>
        <v>1</v>
      </c>
    </row>
    <row r="37" spans="1:10" x14ac:dyDescent="0.35">
      <c r="A37" s="90">
        <v>34</v>
      </c>
      <c r="B37" s="13" t="s">
        <v>689</v>
      </c>
      <c r="C37" s="13" t="s">
        <v>56</v>
      </c>
      <c r="D37" s="146"/>
      <c r="E37" s="146"/>
      <c r="F37" s="22" t="s">
        <v>26</v>
      </c>
      <c r="G37" s="194" t="s">
        <v>201</v>
      </c>
      <c r="H37" s="182" t="s">
        <v>652</v>
      </c>
      <c r="J37" s="176" t="b">
        <f>EXACT(G37,'Vh5205_C-81'!G37)</f>
        <v>1</v>
      </c>
    </row>
    <row r="38" spans="1:10" s="7" customFormat="1" x14ac:dyDescent="0.35">
      <c r="A38" s="90">
        <v>35</v>
      </c>
      <c r="B38" s="10" t="s">
        <v>690</v>
      </c>
      <c r="C38" s="10" t="s">
        <v>77</v>
      </c>
      <c r="D38" s="100"/>
      <c r="E38" s="102"/>
      <c r="F38" s="19" t="s">
        <v>26</v>
      </c>
      <c r="G38" s="161" t="s">
        <v>278</v>
      </c>
      <c r="H38" s="177" t="s">
        <v>652</v>
      </c>
      <c r="J38" s="176" t="b">
        <f>EXACT(G38,'Vh5205_C-81'!G38)</f>
        <v>1</v>
      </c>
    </row>
    <row r="39" spans="1:10" s="7" customFormat="1" ht="64.5" customHeight="1" x14ac:dyDescent="0.35">
      <c r="A39" s="90">
        <v>36</v>
      </c>
      <c r="B39" s="10" t="s">
        <v>690</v>
      </c>
      <c r="C39" s="10" t="s">
        <v>560</v>
      </c>
      <c r="D39" s="146"/>
      <c r="E39" s="10"/>
      <c r="F39" s="19" t="s">
        <v>26</v>
      </c>
      <c r="G39" s="161" t="s">
        <v>716</v>
      </c>
      <c r="H39" s="177" t="s">
        <v>652</v>
      </c>
      <c r="J39" s="176" t="b">
        <f>EXACT(G39,'Vh5205_C-81'!G39)</f>
        <v>1</v>
      </c>
    </row>
    <row r="40" spans="1:10" s="7" customFormat="1" ht="31" x14ac:dyDescent="0.35">
      <c r="A40" s="90">
        <v>37</v>
      </c>
      <c r="B40" s="10" t="s">
        <v>690</v>
      </c>
      <c r="C40" s="10" t="s">
        <v>305</v>
      </c>
      <c r="D40" s="146"/>
      <c r="E40" s="10"/>
      <c r="F40" s="19" t="s">
        <v>26</v>
      </c>
      <c r="G40" s="161" t="s">
        <v>619</v>
      </c>
      <c r="H40" s="177" t="s">
        <v>652</v>
      </c>
      <c r="J40" s="176" t="b">
        <f>EXACT(G40,'Vh5205_C-81'!G40)</f>
        <v>1</v>
      </c>
    </row>
    <row r="41" spans="1:10" s="7" customFormat="1" x14ac:dyDescent="0.35">
      <c r="A41" s="90">
        <v>38</v>
      </c>
      <c r="B41" s="10" t="s">
        <v>690</v>
      </c>
      <c r="C41" s="10" t="s">
        <v>128</v>
      </c>
      <c r="D41" s="146"/>
      <c r="E41" s="10"/>
      <c r="F41" s="19" t="s">
        <v>26</v>
      </c>
      <c r="G41" s="195">
        <v>35458</v>
      </c>
      <c r="H41" s="177" t="s">
        <v>652</v>
      </c>
      <c r="J41" s="176" t="b">
        <f>EXACT(G41,'Vh5205_C-81'!G41)</f>
        <v>1</v>
      </c>
    </row>
    <row r="42" spans="1:10" s="7" customFormat="1" x14ac:dyDescent="0.35">
      <c r="A42" s="90">
        <v>39</v>
      </c>
      <c r="B42" s="10" t="s">
        <v>690</v>
      </c>
      <c r="C42" s="10" t="s">
        <v>129</v>
      </c>
      <c r="D42" s="146"/>
      <c r="E42" s="10"/>
      <c r="F42" s="19" t="s">
        <v>79</v>
      </c>
      <c r="G42" s="192"/>
      <c r="H42" s="177" t="s">
        <v>652</v>
      </c>
      <c r="J42" s="176" t="b">
        <f>EXACT(G42,'Vh5205_C-81'!G42)</f>
        <v>1</v>
      </c>
    </row>
    <row r="43" spans="1:10" s="7" customFormat="1" x14ac:dyDescent="0.35">
      <c r="A43" s="90">
        <v>40</v>
      </c>
      <c r="B43" s="13" t="s">
        <v>690</v>
      </c>
      <c r="C43" s="13" t="s">
        <v>130</v>
      </c>
      <c r="D43" s="87"/>
      <c r="E43" s="13"/>
      <c r="F43" s="22" t="s">
        <v>79</v>
      </c>
      <c r="G43" s="194"/>
      <c r="H43" s="180" t="s">
        <v>652</v>
      </c>
      <c r="J43" s="176" t="b">
        <f>EXACT(G43,'Vh5205_C-81'!G43)</f>
        <v>1</v>
      </c>
    </row>
    <row r="44" spans="1:10" x14ac:dyDescent="0.35">
      <c r="A44" s="90">
        <v>41</v>
      </c>
      <c r="B44" s="102" t="s">
        <v>691</v>
      </c>
      <c r="C44" s="102" t="s">
        <v>117</v>
      </c>
      <c r="D44" s="100"/>
      <c r="E44" s="100"/>
      <c r="F44" s="18" t="s">
        <v>26</v>
      </c>
      <c r="G44" s="161" t="s">
        <v>462</v>
      </c>
      <c r="H44" s="177" t="s">
        <v>652</v>
      </c>
      <c r="J44" s="176" t="b">
        <f>EXACT(G44,'Vh5205_C-81'!G44)</f>
        <v>1</v>
      </c>
    </row>
    <row r="45" spans="1:10" s="7" customFormat="1" x14ac:dyDescent="0.35">
      <c r="A45" s="90">
        <v>42</v>
      </c>
      <c r="B45" s="10" t="s">
        <v>691</v>
      </c>
      <c r="C45" s="10" t="s">
        <v>87</v>
      </c>
      <c r="D45" s="146"/>
      <c r="E45" s="10"/>
      <c r="F45" s="19" t="s">
        <v>79</v>
      </c>
      <c r="G45" s="192" t="s">
        <v>196</v>
      </c>
      <c r="H45" s="177" t="s">
        <v>652</v>
      </c>
      <c r="J45" s="176" t="b">
        <f>EXACT(G45,'Vh5205_C-81'!G45)</f>
        <v>1</v>
      </c>
    </row>
    <row r="46" spans="1:10" s="7" customFormat="1" x14ac:dyDescent="0.35">
      <c r="A46" s="90">
        <v>43</v>
      </c>
      <c r="B46" s="10" t="s">
        <v>691</v>
      </c>
      <c r="C46" s="10" t="s">
        <v>88</v>
      </c>
      <c r="D46" s="146"/>
      <c r="E46" s="10"/>
      <c r="F46" s="19" t="s">
        <v>79</v>
      </c>
      <c r="G46" s="192" t="s">
        <v>196</v>
      </c>
      <c r="H46" s="177" t="s">
        <v>652</v>
      </c>
      <c r="J46" s="176" t="b">
        <f>EXACT(G46,'Vh5205_C-81'!G46)</f>
        <v>1</v>
      </c>
    </row>
    <row r="47" spans="1:10" s="7" customFormat="1" x14ac:dyDescent="0.35">
      <c r="A47" s="90">
        <v>44</v>
      </c>
      <c r="B47" s="10" t="s">
        <v>691</v>
      </c>
      <c r="C47" s="10" t="s">
        <v>60</v>
      </c>
      <c r="D47" s="146"/>
      <c r="E47" s="10"/>
      <c r="F47" s="19" t="s">
        <v>79</v>
      </c>
      <c r="G47" s="192" t="s">
        <v>500</v>
      </c>
      <c r="H47" s="177" t="s">
        <v>652</v>
      </c>
      <c r="J47" s="176" t="b">
        <f>EXACT(G47,'Vh5205_C-81'!G47)</f>
        <v>1</v>
      </c>
    </row>
    <row r="48" spans="1:10" x14ac:dyDescent="0.35">
      <c r="A48" s="90">
        <v>45</v>
      </c>
      <c r="B48" s="10" t="s">
        <v>691</v>
      </c>
      <c r="C48" s="10" t="s">
        <v>90</v>
      </c>
      <c r="D48" s="146"/>
      <c r="E48" s="146"/>
      <c r="F48" s="19" t="s">
        <v>26</v>
      </c>
      <c r="G48" s="161" t="s">
        <v>649</v>
      </c>
      <c r="H48" s="177" t="s">
        <v>652</v>
      </c>
      <c r="J48" s="176" t="b">
        <f>EXACT(G48,'Vh5205_C-81'!G48)</f>
        <v>1</v>
      </c>
    </row>
    <row r="49" spans="1:10" x14ac:dyDescent="0.35">
      <c r="A49" s="90">
        <v>46</v>
      </c>
      <c r="B49" s="10" t="s">
        <v>691</v>
      </c>
      <c r="C49" s="10" t="s">
        <v>91</v>
      </c>
      <c r="D49" s="146"/>
      <c r="E49" s="146"/>
      <c r="F49" s="19" t="s">
        <v>26</v>
      </c>
      <c r="G49" s="161" t="s">
        <v>649</v>
      </c>
      <c r="H49" s="177" t="s">
        <v>652</v>
      </c>
      <c r="J49" s="176" t="b">
        <f>EXACT(G49,'Vh5205_C-81'!G49)</f>
        <v>1</v>
      </c>
    </row>
    <row r="50" spans="1:10" x14ac:dyDescent="0.35">
      <c r="A50" s="90">
        <v>47</v>
      </c>
      <c r="B50" s="13" t="s">
        <v>691</v>
      </c>
      <c r="C50" s="13" t="s">
        <v>86</v>
      </c>
      <c r="D50" s="87"/>
      <c r="E50" s="87"/>
      <c r="F50" s="22" t="s">
        <v>79</v>
      </c>
      <c r="G50" s="194"/>
      <c r="H50" s="180"/>
      <c r="J50" s="1" t="b">
        <f>EXACT(G50,'Vh5205_C-81'!G50)</f>
        <v>1</v>
      </c>
    </row>
    <row r="51" spans="1:10" s="7" customFormat="1" x14ac:dyDescent="0.35">
      <c r="A51" s="90">
        <v>48</v>
      </c>
      <c r="B51" s="10" t="s">
        <v>692</v>
      </c>
      <c r="C51" s="10" t="s">
        <v>95</v>
      </c>
      <c r="D51" s="146"/>
      <c r="E51" s="10" t="s">
        <v>92</v>
      </c>
      <c r="F51" s="19" t="s">
        <v>26</v>
      </c>
      <c r="G51" s="161" t="s">
        <v>680</v>
      </c>
      <c r="H51" s="177" t="s">
        <v>652</v>
      </c>
      <c r="J51" s="176" t="b">
        <f>EXACT(G51,'Vh5205_C-81'!G51)</f>
        <v>1</v>
      </c>
    </row>
    <row r="52" spans="1:10" s="7" customFormat="1" x14ac:dyDescent="0.35">
      <c r="A52" s="90">
        <v>49</v>
      </c>
      <c r="B52" s="10" t="s">
        <v>692</v>
      </c>
      <c r="C52" s="10" t="s">
        <v>96</v>
      </c>
      <c r="D52" s="146"/>
      <c r="E52" s="10" t="s">
        <v>92</v>
      </c>
      <c r="F52" s="19" t="s">
        <v>26</v>
      </c>
      <c r="G52" s="161" t="s">
        <v>681</v>
      </c>
      <c r="H52" s="177" t="s">
        <v>652</v>
      </c>
      <c r="J52" s="176" t="b">
        <f>EXACT(G52,'Vh5205_C-81'!G52)</f>
        <v>1</v>
      </c>
    </row>
    <row r="53" spans="1:10" s="7" customFormat="1" x14ac:dyDescent="0.35">
      <c r="A53" s="90">
        <v>50</v>
      </c>
      <c r="B53" s="10" t="s">
        <v>692</v>
      </c>
      <c r="C53" s="10" t="s">
        <v>149</v>
      </c>
      <c r="D53" s="146"/>
      <c r="E53" s="10"/>
      <c r="F53" s="19" t="s">
        <v>26</v>
      </c>
      <c r="G53" s="161" t="s">
        <v>681</v>
      </c>
      <c r="H53" s="177" t="s">
        <v>652</v>
      </c>
      <c r="J53" s="176" t="b">
        <f>EXACT(G53,'Vh5205_C-81'!G53)</f>
        <v>1</v>
      </c>
    </row>
    <row r="54" spans="1:10" s="7" customFormat="1" x14ac:dyDescent="0.35">
      <c r="A54" s="90">
        <v>51</v>
      </c>
      <c r="B54" s="10" t="s">
        <v>692</v>
      </c>
      <c r="C54" s="10" t="s">
        <v>148</v>
      </c>
      <c r="D54" s="10"/>
      <c r="E54" s="10"/>
      <c r="F54" s="19" t="s">
        <v>79</v>
      </c>
      <c r="G54" s="161" t="s">
        <v>467</v>
      </c>
      <c r="H54" s="177" t="s">
        <v>652</v>
      </c>
      <c r="J54" s="176" t="b">
        <f>EXACT(G54,'Vh5205_C-81'!G54)</f>
        <v>1</v>
      </c>
    </row>
    <row r="55" spans="1:10" s="7" customFormat="1" x14ac:dyDescent="0.35">
      <c r="A55" s="90">
        <v>52</v>
      </c>
      <c r="B55" s="10" t="s">
        <v>692</v>
      </c>
      <c r="C55" s="10" t="s">
        <v>100</v>
      </c>
      <c r="D55" s="146"/>
      <c r="E55" s="10"/>
      <c r="F55" s="19" t="s">
        <v>79</v>
      </c>
      <c r="G55" s="192"/>
      <c r="H55" s="177"/>
      <c r="J55" s="1" t="b">
        <f>EXACT(G55,'Vh5205_C-81'!G55)</f>
        <v>1</v>
      </c>
    </row>
    <row r="56" spans="1:10" s="7" customFormat="1" x14ac:dyDescent="0.35">
      <c r="A56" s="90">
        <v>53</v>
      </c>
      <c r="B56" s="13" t="s">
        <v>692</v>
      </c>
      <c r="C56" s="13" t="s">
        <v>101</v>
      </c>
      <c r="D56" s="87"/>
      <c r="E56" s="13"/>
      <c r="F56" s="22" t="s">
        <v>79</v>
      </c>
      <c r="G56" s="194"/>
      <c r="H56" s="180"/>
      <c r="J56" s="1" t="b">
        <f>EXACT(G56,'Vh5205_C-81'!G56)</f>
        <v>1</v>
      </c>
    </row>
    <row r="57" spans="1:10" s="7" customFormat="1" x14ac:dyDescent="0.35">
      <c r="A57" s="90">
        <v>54</v>
      </c>
      <c r="B57" s="102" t="s">
        <v>693</v>
      </c>
      <c r="C57" s="102" t="s">
        <v>93</v>
      </c>
      <c r="D57" s="146"/>
      <c r="E57" s="10"/>
      <c r="F57" s="19" t="s">
        <v>26</v>
      </c>
      <c r="G57" s="161" t="s">
        <v>483</v>
      </c>
      <c r="H57" s="177" t="s">
        <v>652</v>
      </c>
      <c r="J57" s="176" t="b">
        <f>EXACT(G57,'Vh5205_C-81'!G57)</f>
        <v>1</v>
      </c>
    </row>
    <row r="58" spans="1:10" s="7" customFormat="1" x14ac:dyDescent="0.35">
      <c r="A58" s="90">
        <v>55</v>
      </c>
      <c r="B58" s="10" t="s">
        <v>693</v>
      </c>
      <c r="C58" s="10" t="s">
        <v>104</v>
      </c>
      <c r="D58" s="146"/>
      <c r="E58" s="10" t="s">
        <v>51</v>
      </c>
      <c r="F58" s="19" t="s">
        <v>26</v>
      </c>
      <c r="G58" s="161" t="s">
        <v>524</v>
      </c>
      <c r="H58" s="177" t="s">
        <v>652</v>
      </c>
      <c r="J58" s="176" t="b">
        <f>EXACT(G58,'Vh5205_C-81'!G58)</f>
        <v>1</v>
      </c>
    </row>
    <row r="59" spans="1:10" s="7" customFormat="1" x14ac:dyDescent="0.35">
      <c r="A59" s="90">
        <v>56</v>
      </c>
      <c r="B59" s="104" t="s">
        <v>693</v>
      </c>
      <c r="C59" s="104" t="s">
        <v>418</v>
      </c>
      <c r="D59" s="104"/>
      <c r="E59" s="104"/>
      <c r="F59" s="19" t="s">
        <v>26</v>
      </c>
      <c r="G59" s="161" t="s">
        <v>524</v>
      </c>
      <c r="H59" s="177" t="s">
        <v>652</v>
      </c>
      <c r="J59" s="176" t="b">
        <f>EXACT(G59,'Vh5205_C-81'!G59)</f>
        <v>1</v>
      </c>
    </row>
    <row r="60" spans="1:10" s="7" customFormat="1" x14ac:dyDescent="0.35">
      <c r="A60" s="90">
        <v>57</v>
      </c>
      <c r="B60" s="10" t="s">
        <v>693</v>
      </c>
      <c r="C60" s="10" t="s">
        <v>103</v>
      </c>
      <c r="D60" s="146"/>
      <c r="E60" s="10"/>
      <c r="F60" s="19" t="s">
        <v>79</v>
      </c>
      <c r="G60" s="161" t="s">
        <v>524</v>
      </c>
      <c r="H60" s="177" t="s">
        <v>652</v>
      </c>
      <c r="J60" s="176" t="b">
        <f>EXACT(G60,'Vh5205_C-81'!G60)</f>
        <v>1</v>
      </c>
    </row>
    <row r="61" spans="1:10" s="7" customFormat="1" x14ac:dyDescent="0.35">
      <c r="A61" s="90">
        <v>58</v>
      </c>
      <c r="B61" s="10" t="s">
        <v>693</v>
      </c>
      <c r="C61" s="10" t="s">
        <v>125</v>
      </c>
      <c r="D61" s="146"/>
      <c r="E61" s="10" t="s">
        <v>1</v>
      </c>
      <c r="F61" s="19" t="s">
        <v>79</v>
      </c>
      <c r="G61" s="161"/>
      <c r="H61" s="177"/>
      <c r="J61" s="2" t="b">
        <f>EXACT(G61,'Vh5205_C-81'!G61)</f>
        <v>1</v>
      </c>
    </row>
    <row r="62" spans="1:10" s="7" customFormat="1" x14ac:dyDescent="0.35">
      <c r="A62" s="90">
        <v>59</v>
      </c>
      <c r="B62" s="10" t="s">
        <v>693</v>
      </c>
      <c r="C62" s="10" t="s">
        <v>62</v>
      </c>
      <c r="D62" s="146"/>
      <c r="E62" s="10" t="s">
        <v>51</v>
      </c>
      <c r="F62" s="19" t="s">
        <v>79</v>
      </c>
      <c r="G62" s="161"/>
      <c r="H62" s="177"/>
      <c r="J62" s="1" t="b">
        <f>EXACT(G62,'Vh5205_C-81'!G62)</f>
        <v>1</v>
      </c>
    </row>
    <row r="63" spans="1:10" s="7" customFormat="1" x14ac:dyDescent="0.35">
      <c r="A63" s="90">
        <v>60</v>
      </c>
      <c r="B63" s="10" t="s">
        <v>693</v>
      </c>
      <c r="C63" s="10" t="s">
        <v>63</v>
      </c>
      <c r="D63" s="146"/>
      <c r="E63" s="10" t="s">
        <v>51</v>
      </c>
      <c r="F63" s="19" t="s">
        <v>79</v>
      </c>
      <c r="G63" s="161"/>
      <c r="H63" s="177"/>
      <c r="J63" s="1" t="b">
        <f>EXACT(G63,'Vh5205_C-81'!G63)</f>
        <v>1</v>
      </c>
    </row>
    <row r="64" spans="1:10" s="7" customFormat="1" x14ac:dyDescent="0.35">
      <c r="A64" s="90">
        <v>61</v>
      </c>
      <c r="B64" s="10" t="s">
        <v>693</v>
      </c>
      <c r="C64" s="10" t="s">
        <v>126</v>
      </c>
      <c r="D64" s="146"/>
      <c r="E64" s="10"/>
      <c r="F64" s="19" t="s">
        <v>79</v>
      </c>
      <c r="G64" s="161"/>
      <c r="H64" s="177"/>
      <c r="J64" s="1" t="b">
        <f>EXACT(G64,'Vh5205_C-81'!G64)</f>
        <v>1</v>
      </c>
    </row>
    <row r="65" spans="1:10" s="7" customFormat="1" x14ac:dyDescent="0.35">
      <c r="A65" s="90">
        <v>62</v>
      </c>
      <c r="B65" s="10" t="s">
        <v>693</v>
      </c>
      <c r="C65" s="10" t="s">
        <v>52</v>
      </c>
      <c r="D65" s="146"/>
      <c r="E65" s="10"/>
      <c r="F65" s="19" t="s">
        <v>79</v>
      </c>
      <c r="G65" s="161"/>
      <c r="H65" s="177"/>
      <c r="J65" s="1" t="b">
        <f>EXACT(G65,'Vh5205_C-81'!G65)</f>
        <v>1</v>
      </c>
    </row>
    <row r="66" spans="1:10" s="7" customFormat="1" x14ac:dyDescent="0.35">
      <c r="A66" s="90">
        <v>63</v>
      </c>
      <c r="B66" s="10" t="s">
        <v>693</v>
      </c>
      <c r="C66" s="10" t="s">
        <v>189</v>
      </c>
      <c r="D66" s="146"/>
      <c r="E66" s="10"/>
      <c r="F66" s="19" t="s">
        <v>79</v>
      </c>
      <c r="G66" s="161" t="s">
        <v>682</v>
      </c>
      <c r="H66" s="177" t="s">
        <v>652</v>
      </c>
      <c r="J66" s="176" t="b">
        <f>EXACT(G66,'Vh5205_C-81'!G66)</f>
        <v>1</v>
      </c>
    </row>
    <row r="67" spans="1:10" s="7" customFormat="1" x14ac:dyDescent="0.35">
      <c r="A67" s="90">
        <v>64</v>
      </c>
      <c r="B67" s="10" t="s">
        <v>693</v>
      </c>
      <c r="C67" s="10" t="s">
        <v>190</v>
      </c>
      <c r="D67" s="146"/>
      <c r="E67" s="10"/>
      <c r="F67" s="19" t="s">
        <v>79</v>
      </c>
      <c r="G67" s="192"/>
      <c r="H67" s="177"/>
      <c r="J67" s="1" t="b">
        <f>EXACT(G67,'Vh5205_C-81'!G67)</f>
        <v>1</v>
      </c>
    </row>
    <row r="68" spans="1:10" s="7" customFormat="1" x14ac:dyDescent="0.35">
      <c r="A68" s="90">
        <v>65</v>
      </c>
      <c r="B68" s="10" t="s">
        <v>693</v>
      </c>
      <c r="C68" s="10" t="s">
        <v>382</v>
      </c>
      <c r="D68" s="146"/>
      <c r="E68" s="10"/>
      <c r="F68" s="19" t="s">
        <v>79</v>
      </c>
      <c r="G68" s="161" t="s">
        <v>620</v>
      </c>
      <c r="H68" s="177" t="s">
        <v>652</v>
      </c>
      <c r="J68" s="176" t="b">
        <f>EXACT(G68,'Vh5205_C-81'!G68)</f>
        <v>1</v>
      </c>
    </row>
    <row r="69" spans="1:10" s="7" customFormat="1" ht="31" x14ac:dyDescent="0.35">
      <c r="A69" s="90">
        <v>66</v>
      </c>
      <c r="B69" s="10" t="s">
        <v>693</v>
      </c>
      <c r="C69" s="10" t="s">
        <v>419</v>
      </c>
      <c r="D69" s="146"/>
      <c r="E69" s="10" t="s">
        <v>480</v>
      </c>
      <c r="F69" s="19" t="s">
        <v>26</v>
      </c>
      <c r="G69" s="161" t="s">
        <v>650</v>
      </c>
      <c r="H69" s="177" t="s">
        <v>652</v>
      </c>
      <c r="J69" s="176" t="b">
        <f>EXACT(G69,'Vh5205_C-81'!G69)</f>
        <v>1</v>
      </c>
    </row>
    <row r="70" spans="1:10" s="7" customFormat="1" ht="31" x14ac:dyDescent="0.35">
      <c r="A70" s="90">
        <v>67</v>
      </c>
      <c r="B70" s="104" t="s">
        <v>693</v>
      </c>
      <c r="C70" s="104" t="s">
        <v>420</v>
      </c>
      <c r="D70" s="104"/>
      <c r="E70" s="104"/>
      <c r="F70" s="19" t="s">
        <v>26</v>
      </c>
      <c r="G70" s="161" t="s">
        <v>717</v>
      </c>
      <c r="H70" s="177" t="s">
        <v>652</v>
      </c>
      <c r="J70" s="176" t="b">
        <f>EXACT(G70,'Vh5205_C-81'!G70)</f>
        <v>1</v>
      </c>
    </row>
    <row r="71" spans="1:10" s="7" customFormat="1" x14ac:dyDescent="0.35">
      <c r="A71" s="90">
        <v>68</v>
      </c>
      <c r="B71" s="104" t="s">
        <v>693</v>
      </c>
      <c r="C71" s="104" t="s">
        <v>421</v>
      </c>
      <c r="D71" s="107"/>
      <c r="E71" s="107"/>
      <c r="F71" s="22" t="s">
        <v>79</v>
      </c>
      <c r="G71" s="196"/>
      <c r="H71" s="180"/>
      <c r="J71" s="1" t="b">
        <f>EXACT(G71,'Vh5205_C-81'!G71)</f>
        <v>1</v>
      </c>
    </row>
    <row r="72" spans="1:10" s="7" customFormat="1" x14ac:dyDescent="0.35">
      <c r="A72" s="90">
        <v>69</v>
      </c>
      <c r="B72" s="102" t="s">
        <v>694</v>
      </c>
      <c r="C72" s="102" t="s">
        <v>422</v>
      </c>
      <c r="D72" s="10"/>
      <c r="E72" s="10"/>
      <c r="F72" s="19" t="s">
        <v>79</v>
      </c>
      <c r="G72" s="161"/>
      <c r="H72" s="177"/>
      <c r="J72" s="1" t="b">
        <f>EXACT(G72,'Vh5205_C-81'!G72)</f>
        <v>1</v>
      </c>
    </row>
    <row r="73" spans="1:10" s="7" customFormat="1" x14ac:dyDescent="0.35">
      <c r="A73" s="90">
        <v>70</v>
      </c>
      <c r="B73" s="13" t="s">
        <v>694</v>
      </c>
      <c r="C73" s="13" t="s">
        <v>102</v>
      </c>
      <c r="D73" s="87"/>
      <c r="E73" s="13"/>
      <c r="F73" s="22" t="s">
        <v>79</v>
      </c>
      <c r="G73" s="196"/>
      <c r="H73" s="180"/>
      <c r="J73" s="1" t="b">
        <f>EXACT(G73,'Vh5205_C-81'!G73)</f>
        <v>1</v>
      </c>
    </row>
    <row r="74" spans="1:10" s="7" customFormat="1" x14ac:dyDescent="0.35">
      <c r="A74" s="90">
        <v>71</v>
      </c>
      <c r="B74" s="10" t="s">
        <v>695</v>
      </c>
      <c r="C74" s="10" t="s">
        <v>127</v>
      </c>
      <c r="D74" s="146"/>
      <c r="E74" s="10" t="s">
        <v>4</v>
      </c>
      <c r="F74" s="19" t="s">
        <v>79</v>
      </c>
      <c r="G74" s="161"/>
      <c r="H74" s="177"/>
      <c r="J74" s="1" t="b">
        <f>EXACT(G74,'Vh5205_C-81'!G74)</f>
        <v>1</v>
      </c>
    </row>
    <row r="75" spans="1:10" s="7" customFormat="1" x14ac:dyDescent="0.35">
      <c r="A75" s="90">
        <v>72</v>
      </c>
      <c r="B75" s="10" t="s">
        <v>695</v>
      </c>
      <c r="C75" s="10" t="s">
        <v>298</v>
      </c>
      <c r="D75" s="146"/>
      <c r="E75" s="10" t="s">
        <v>4</v>
      </c>
      <c r="F75" s="19" t="s">
        <v>79</v>
      </c>
      <c r="G75" s="192" t="s">
        <v>655</v>
      </c>
      <c r="H75" s="177" t="s">
        <v>652</v>
      </c>
      <c r="J75" s="176" t="b">
        <f>EXACT(G75,'Vh5205_C-81'!G75)</f>
        <v>1</v>
      </c>
    </row>
    <row r="76" spans="1:10" s="7" customFormat="1" x14ac:dyDescent="0.35">
      <c r="A76" s="90">
        <v>73</v>
      </c>
      <c r="B76" s="10" t="s">
        <v>695</v>
      </c>
      <c r="C76" s="10" t="s">
        <v>115</v>
      </c>
      <c r="D76" s="146"/>
      <c r="E76" s="10"/>
      <c r="F76" s="22" t="s">
        <v>79</v>
      </c>
      <c r="G76" s="196"/>
      <c r="H76" s="180"/>
      <c r="J76" s="1" t="b">
        <f>EXACT(G76,'Vh5205_C-81'!G76)</f>
        <v>1</v>
      </c>
    </row>
    <row r="77" spans="1:10" x14ac:dyDescent="0.35">
      <c r="A77" s="90">
        <v>74</v>
      </c>
      <c r="B77" s="100" t="s">
        <v>696</v>
      </c>
      <c r="C77" s="100" t="s">
        <v>43</v>
      </c>
      <c r="D77" s="100"/>
      <c r="E77" s="100"/>
      <c r="F77" s="19" t="s">
        <v>79</v>
      </c>
      <c r="G77" s="161" t="s">
        <v>509</v>
      </c>
      <c r="H77" s="140"/>
      <c r="J77" s="1" t="b">
        <f>EXACT(G77,'Vh5205_C-81'!G77)</f>
        <v>0</v>
      </c>
    </row>
    <row r="78" spans="1:10" x14ac:dyDescent="0.35">
      <c r="A78" s="90">
        <v>75</v>
      </c>
      <c r="B78" s="146" t="s">
        <v>696</v>
      </c>
      <c r="C78" s="146" t="s">
        <v>114</v>
      </c>
      <c r="D78" s="146"/>
      <c r="E78" s="146"/>
      <c r="F78" s="19" t="s">
        <v>79</v>
      </c>
      <c r="G78" s="161"/>
      <c r="H78" s="140"/>
      <c r="J78" s="1" t="b">
        <f>EXACT(G78,'Vh5205_C-81'!G78)</f>
        <v>1</v>
      </c>
    </row>
    <row r="79" spans="1:10" x14ac:dyDescent="0.35">
      <c r="A79" s="90">
        <v>76</v>
      </c>
      <c r="B79" s="10" t="s">
        <v>696</v>
      </c>
      <c r="C79" s="10" t="s">
        <v>338</v>
      </c>
      <c r="D79" s="146"/>
      <c r="E79" s="146"/>
      <c r="F79" s="19" t="s">
        <v>79</v>
      </c>
      <c r="G79" s="192" t="s">
        <v>615</v>
      </c>
      <c r="H79" s="140" t="s">
        <v>652</v>
      </c>
      <c r="J79" s="176" t="b">
        <f>EXACT(G79,'Vh5205_C-81'!G79)</f>
        <v>1</v>
      </c>
    </row>
    <row r="80" spans="1:10" x14ac:dyDescent="0.35">
      <c r="A80" s="90">
        <v>77</v>
      </c>
      <c r="B80" s="10" t="s">
        <v>696</v>
      </c>
      <c r="C80" s="10" t="s">
        <v>150</v>
      </c>
      <c r="D80" s="146"/>
      <c r="E80" s="146"/>
      <c r="F80" s="19" t="s">
        <v>26</v>
      </c>
      <c r="G80" s="192" t="s">
        <v>612</v>
      </c>
      <c r="H80" s="140" t="s">
        <v>652</v>
      </c>
      <c r="J80" s="176" t="b">
        <f>EXACT(G80,'Vh5205_C-81'!G80)</f>
        <v>1</v>
      </c>
    </row>
    <row r="81" spans="1:10" x14ac:dyDescent="0.35">
      <c r="A81" s="90">
        <v>78</v>
      </c>
      <c r="B81" s="10" t="s">
        <v>696</v>
      </c>
      <c r="C81" s="10" t="s">
        <v>152</v>
      </c>
      <c r="D81" s="146"/>
      <c r="E81" s="146"/>
      <c r="F81" s="19" t="s">
        <v>26</v>
      </c>
      <c r="G81" s="192" t="s">
        <v>267</v>
      </c>
      <c r="H81" s="140" t="s">
        <v>652</v>
      </c>
      <c r="J81" s="176" t="b">
        <f>EXACT(G81,'Vh5205_C-81'!G81)</f>
        <v>1</v>
      </c>
    </row>
    <row r="82" spans="1:10" x14ac:dyDescent="0.35">
      <c r="A82" s="90">
        <v>79</v>
      </c>
      <c r="B82" s="10" t="s">
        <v>696</v>
      </c>
      <c r="C82" s="10" t="s">
        <v>153</v>
      </c>
      <c r="D82" s="146"/>
      <c r="E82" s="146"/>
      <c r="F82" s="19" t="s">
        <v>26</v>
      </c>
      <c r="G82" s="192" t="s">
        <v>268</v>
      </c>
      <c r="H82" s="140" t="s">
        <v>652</v>
      </c>
      <c r="J82" s="176" t="b">
        <f>EXACT(G82,'Vh5205_C-81'!G82)</f>
        <v>1</v>
      </c>
    </row>
    <row r="83" spans="1:10" ht="31" x14ac:dyDescent="0.35">
      <c r="A83" s="90">
        <v>80</v>
      </c>
      <c r="B83" s="10" t="s">
        <v>696</v>
      </c>
      <c r="C83" s="10" t="s">
        <v>9</v>
      </c>
      <c r="D83" s="146"/>
      <c r="E83" s="146"/>
      <c r="F83" s="19" t="s">
        <v>26</v>
      </c>
      <c r="G83" s="161" t="s">
        <v>715</v>
      </c>
      <c r="H83" s="140" t="s">
        <v>652</v>
      </c>
      <c r="J83" s="176" t="b">
        <f>EXACT(G83,'Vh5205_C-81'!G83)</f>
        <v>1</v>
      </c>
    </row>
    <row r="84" spans="1:10" x14ac:dyDescent="0.35">
      <c r="A84" s="90">
        <v>81</v>
      </c>
      <c r="B84" s="10" t="s">
        <v>696</v>
      </c>
      <c r="C84" s="10" t="s">
        <v>339</v>
      </c>
      <c r="D84" s="146"/>
      <c r="E84" s="146"/>
      <c r="F84" s="19" t="s">
        <v>26</v>
      </c>
      <c r="G84" s="161" t="s">
        <v>718</v>
      </c>
      <c r="H84" s="140" t="s">
        <v>652</v>
      </c>
      <c r="J84" s="176" t="b">
        <f>EXACT(G84,'Vh5205_C-81'!G84)</f>
        <v>1</v>
      </c>
    </row>
    <row r="85" spans="1:10" ht="31" x14ac:dyDescent="0.35">
      <c r="A85" s="90">
        <v>82</v>
      </c>
      <c r="B85" s="10" t="s">
        <v>696</v>
      </c>
      <c r="C85" s="10" t="s">
        <v>573</v>
      </c>
      <c r="D85" s="146"/>
      <c r="E85" s="146"/>
      <c r="F85" s="19" t="s">
        <v>26</v>
      </c>
      <c r="G85" s="161" t="s">
        <v>537</v>
      </c>
      <c r="H85" s="140" t="s">
        <v>652</v>
      </c>
      <c r="J85" s="176" t="b">
        <f>EXACT(G85,'Vh5205_C-81'!G85)</f>
        <v>1</v>
      </c>
    </row>
    <row r="86" spans="1:10" s="7" customFormat="1" ht="46.5" x14ac:dyDescent="0.35">
      <c r="A86" s="90">
        <v>83</v>
      </c>
      <c r="B86" s="13" t="s">
        <v>696</v>
      </c>
      <c r="C86" s="13" t="s">
        <v>133</v>
      </c>
      <c r="D86" s="87"/>
      <c r="E86" s="87" t="s">
        <v>51</v>
      </c>
      <c r="F86" s="22" t="s">
        <v>79</v>
      </c>
      <c r="G86" s="196" t="s">
        <v>651</v>
      </c>
      <c r="H86" s="182" t="s">
        <v>652</v>
      </c>
      <c r="J86" s="176" t="b">
        <f>EXACT(G86,'Vh5205_C-81'!G86)</f>
        <v>1</v>
      </c>
    </row>
    <row r="87" spans="1:10" x14ac:dyDescent="0.35">
      <c r="A87" s="90">
        <v>84</v>
      </c>
      <c r="B87" s="146" t="s">
        <v>697</v>
      </c>
      <c r="C87" s="146" t="s">
        <v>299</v>
      </c>
      <c r="D87" s="94"/>
      <c r="E87" s="146"/>
      <c r="F87" s="19" t="s">
        <v>79</v>
      </c>
      <c r="G87" s="204" t="s">
        <v>502</v>
      </c>
      <c r="H87" s="140" t="s">
        <v>652</v>
      </c>
      <c r="J87" s="176" t="b">
        <f>EXACT(G87,'Vh5205_C-81'!G87)</f>
        <v>1</v>
      </c>
    </row>
    <row r="88" spans="1:10" x14ac:dyDescent="0.35">
      <c r="A88" s="90">
        <v>85</v>
      </c>
      <c r="B88" s="10" t="s">
        <v>697</v>
      </c>
      <c r="C88" s="10" t="s">
        <v>300</v>
      </c>
      <c r="D88" s="94"/>
      <c r="E88" s="146"/>
      <c r="F88" s="19" t="s">
        <v>79</v>
      </c>
      <c r="G88" s="192" t="s">
        <v>617</v>
      </c>
      <c r="H88" s="140" t="s">
        <v>652</v>
      </c>
      <c r="J88" s="176" t="b">
        <f>EXACT(G88,'Vh5205_C-81'!G88)</f>
        <v>1</v>
      </c>
    </row>
    <row r="89" spans="1:10" x14ac:dyDescent="0.35">
      <c r="A89" s="90">
        <v>86</v>
      </c>
      <c r="B89" s="10" t="s">
        <v>697</v>
      </c>
      <c r="C89" s="10" t="s">
        <v>156</v>
      </c>
      <c r="D89" s="146"/>
      <c r="E89" s="146" t="s">
        <v>0</v>
      </c>
      <c r="F89" s="19" t="s">
        <v>79</v>
      </c>
      <c r="G89" s="192">
        <v>1</v>
      </c>
      <c r="H89" s="140" t="s">
        <v>652</v>
      </c>
      <c r="J89" s="176" t="b">
        <f>EXACT(G89,'Vh5205_C-81'!G89)</f>
        <v>1</v>
      </c>
    </row>
    <row r="90" spans="1:10" x14ac:dyDescent="0.35">
      <c r="A90" s="90">
        <v>87</v>
      </c>
      <c r="B90" s="10" t="s">
        <v>697</v>
      </c>
      <c r="C90" s="10" t="s">
        <v>132</v>
      </c>
      <c r="D90" s="146"/>
      <c r="E90" s="146" t="s">
        <v>0</v>
      </c>
      <c r="F90" s="19" t="s">
        <v>79</v>
      </c>
      <c r="G90" s="192">
        <v>20</v>
      </c>
      <c r="H90" s="140" t="s">
        <v>652</v>
      </c>
      <c r="J90" s="176" t="b">
        <f>EXACT(G90,'Vh5205_C-81'!G90)</f>
        <v>1</v>
      </c>
    </row>
    <row r="91" spans="1:10" s="7" customFormat="1" x14ac:dyDescent="0.35">
      <c r="A91" s="90">
        <v>88</v>
      </c>
      <c r="B91" s="10" t="s">
        <v>697</v>
      </c>
      <c r="C91" s="10" t="s">
        <v>343</v>
      </c>
      <c r="D91" s="146"/>
      <c r="E91" s="146"/>
      <c r="F91" s="20" t="s">
        <v>26</v>
      </c>
      <c r="G91" s="161" t="s">
        <v>625</v>
      </c>
      <c r="H91" s="140" t="s">
        <v>652</v>
      </c>
      <c r="J91" s="176" t="b">
        <f>EXACT(G91,'Vh5205_C-81'!G91)</f>
        <v>1</v>
      </c>
    </row>
    <row r="92" spans="1:10" s="7" customFormat="1" ht="31" x14ac:dyDescent="0.35">
      <c r="A92" s="90">
        <v>89</v>
      </c>
      <c r="B92" s="10" t="s">
        <v>697</v>
      </c>
      <c r="C92" s="10" t="s">
        <v>425</v>
      </c>
      <c r="D92" s="146"/>
      <c r="E92" s="146"/>
      <c r="F92" s="20" t="s">
        <v>26</v>
      </c>
      <c r="G92" s="161" t="s">
        <v>621</v>
      </c>
      <c r="H92" s="140" t="s">
        <v>652</v>
      </c>
      <c r="J92" s="176" t="b">
        <f>EXACT(G92,'Vh5205_C-81'!G92)</f>
        <v>1</v>
      </c>
    </row>
    <row r="93" spans="1:10" ht="31" x14ac:dyDescent="0.35">
      <c r="A93" s="90">
        <v>90</v>
      </c>
      <c r="B93" s="87" t="s">
        <v>697</v>
      </c>
      <c r="C93" s="87" t="s">
        <v>157</v>
      </c>
      <c r="D93" s="87"/>
      <c r="E93" s="87"/>
      <c r="F93" s="21" t="s">
        <v>26</v>
      </c>
      <c r="G93" s="196" t="s">
        <v>719</v>
      </c>
      <c r="H93" s="182" t="s">
        <v>652</v>
      </c>
      <c r="J93" s="176" t="b">
        <f>EXACT(G93,'Vh5205_C-81'!G93)</f>
        <v>1</v>
      </c>
    </row>
    <row r="94" spans="1:10" s="7" customFormat="1" x14ac:dyDescent="0.35">
      <c r="A94" s="90">
        <v>91</v>
      </c>
      <c r="B94" s="10" t="s">
        <v>698</v>
      </c>
      <c r="C94" s="10" t="s">
        <v>159</v>
      </c>
      <c r="D94" s="146"/>
      <c r="E94" s="146"/>
      <c r="F94" s="19" t="s">
        <v>79</v>
      </c>
      <c r="G94" s="197" t="s">
        <v>385</v>
      </c>
      <c r="H94" s="140" t="s">
        <v>652</v>
      </c>
      <c r="J94" s="176" t="b">
        <f>EXACT(G94,'Vh5205_C-81'!G94)</f>
        <v>1</v>
      </c>
    </row>
    <row r="95" spans="1:10" s="7" customFormat="1" x14ac:dyDescent="0.35">
      <c r="A95" s="90">
        <v>92</v>
      </c>
      <c r="B95" s="146" t="s">
        <v>698</v>
      </c>
      <c r="C95" s="146" t="s">
        <v>426</v>
      </c>
      <c r="D95" s="146"/>
      <c r="E95" s="146"/>
      <c r="F95" s="19" t="s">
        <v>79</v>
      </c>
      <c r="G95" s="205" t="s">
        <v>391</v>
      </c>
      <c r="H95" s="140" t="s">
        <v>652</v>
      </c>
      <c r="J95" s="176" t="b">
        <f>EXACT(G95,'Vh5205_C-81'!G95)</f>
        <v>1</v>
      </c>
    </row>
    <row r="96" spans="1:10" s="7" customFormat="1" x14ac:dyDescent="0.35">
      <c r="A96" s="90">
        <v>93</v>
      </c>
      <c r="B96" s="146" t="s">
        <v>698</v>
      </c>
      <c r="C96" s="146" t="s">
        <v>386</v>
      </c>
      <c r="D96" s="146"/>
      <c r="E96" s="146"/>
      <c r="F96" s="19" t="s">
        <v>26</v>
      </c>
      <c r="G96" s="198" t="s">
        <v>387</v>
      </c>
      <c r="H96" s="140" t="s">
        <v>652</v>
      </c>
      <c r="J96" s="176" t="b">
        <f>EXACT(G96,'Vh5205_C-81'!G96)</f>
        <v>1</v>
      </c>
    </row>
    <row r="97" spans="1:10" s="7" customFormat="1" x14ac:dyDescent="0.35">
      <c r="A97" s="90">
        <v>94</v>
      </c>
      <c r="B97" s="146" t="s">
        <v>698</v>
      </c>
      <c r="C97" s="146" t="s">
        <v>105</v>
      </c>
      <c r="D97" s="146"/>
      <c r="E97" s="146"/>
      <c r="F97" s="19" t="s">
        <v>26</v>
      </c>
      <c r="G97" s="161" t="s">
        <v>656</v>
      </c>
      <c r="H97" s="140" t="s">
        <v>652</v>
      </c>
      <c r="J97" s="176" t="b">
        <f>EXACT(G97,'Vh5205_C-81'!G97)</f>
        <v>1</v>
      </c>
    </row>
    <row r="98" spans="1:10" s="7" customFormat="1" x14ac:dyDescent="0.35">
      <c r="A98" s="90">
        <v>95</v>
      </c>
      <c r="B98" s="87" t="s">
        <v>698</v>
      </c>
      <c r="C98" s="87" t="s">
        <v>160</v>
      </c>
      <c r="D98" s="87"/>
      <c r="E98" s="87"/>
      <c r="F98" s="22" t="s">
        <v>79</v>
      </c>
      <c r="G98" s="194" t="s">
        <v>196</v>
      </c>
      <c r="H98" s="182" t="s">
        <v>652</v>
      </c>
      <c r="J98" s="176" t="b">
        <f>EXACT(G98,'Vh5205_C-81'!G98)</f>
        <v>1</v>
      </c>
    </row>
    <row r="99" spans="1:10" x14ac:dyDescent="0.35">
      <c r="A99" s="90">
        <v>96</v>
      </c>
      <c r="B99" s="10" t="s">
        <v>699</v>
      </c>
      <c r="C99" s="10" t="s">
        <v>428</v>
      </c>
      <c r="D99" s="146"/>
      <c r="E99" s="146"/>
      <c r="F99" s="20" t="s">
        <v>26</v>
      </c>
      <c r="G99" s="206" t="s">
        <v>196</v>
      </c>
      <c r="H99" s="140" t="s">
        <v>652</v>
      </c>
      <c r="J99" s="176" t="b">
        <f>EXACT(G99,'Vh5205_C-81'!G99)</f>
        <v>1</v>
      </c>
    </row>
    <row r="100" spans="1:10" x14ac:dyDescent="0.35">
      <c r="A100" s="90">
        <v>97</v>
      </c>
      <c r="B100" s="104" t="s">
        <v>699</v>
      </c>
      <c r="C100" s="104" t="s">
        <v>161</v>
      </c>
      <c r="D100" s="104"/>
      <c r="E100" s="104"/>
      <c r="F100" s="20" t="s">
        <v>79</v>
      </c>
      <c r="G100" s="192"/>
      <c r="H100" s="140"/>
      <c r="J100" s="1" t="b">
        <f>EXACT(G100,'Vh5205_C-81'!G100)</f>
        <v>1</v>
      </c>
    </row>
    <row r="101" spans="1:10" x14ac:dyDescent="0.35">
      <c r="A101" s="90">
        <v>98</v>
      </c>
      <c r="B101" s="104" t="s">
        <v>699</v>
      </c>
      <c r="C101" s="104" t="s">
        <v>272</v>
      </c>
      <c r="D101" s="104"/>
      <c r="E101" s="104"/>
      <c r="F101" s="20" t="s">
        <v>26</v>
      </c>
      <c r="G101" s="207">
        <v>44778</v>
      </c>
      <c r="H101" s="140" t="s">
        <v>652</v>
      </c>
      <c r="J101" s="176" t="b">
        <f>EXACT(G101,'Vh5205_C-81'!G101)</f>
        <v>1</v>
      </c>
    </row>
    <row r="102" spans="1:10" x14ac:dyDescent="0.35">
      <c r="A102" s="90">
        <v>99</v>
      </c>
      <c r="B102" s="104" t="s">
        <v>699</v>
      </c>
      <c r="C102" s="104" t="s">
        <v>271</v>
      </c>
      <c r="D102" s="104"/>
      <c r="E102" s="104"/>
      <c r="F102" s="20" t="s">
        <v>26</v>
      </c>
      <c r="G102" s="161" t="s">
        <v>503</v>
      </c>
      <c r="H102" s="140" t="s">
        <v>652</v>
      </c>
      <c r="J102" s="176" t="b">
        <f>EXACT(G102,'Vh5205_C-81'!G102)</f>
        <v>1</v>
      </c>
    </row>
    <row r="103" spans="1:10" x14ac:dyDescent="0.35">
      <c r="A103" s="90">
        <v>100</v>
      </c>
      <c r="B103" s="10" t="s">
        <v>699</v>
      </c>
      <c r="C103" s="10" t="s">
        <v>120</v>
      </c>
      <c r="D103" s="146"/>
      <c r="E103" s="146"/>
      <c r="F103" s="20" t="s">
        <v>26</v>
      </c>
      <c r="G103" s="192" t="s">
        <v>270</v>
      </c>
      <c r="H103" s="140" t="s">
        <v>652</v>
      </c>
      <c r="J103" s="176" t="b">
        <f>EXACT(G103,'Vh5205_C-81'!G103)</f>
        <v>1</v>
      </c>
    </row>
    <row r="104" spans="1:10" x14ac:dyDescent="0.35">
      <c r="A104" s="90">
        <v>101</v>
      </c>
      <c r="B104" s="10" t="s">
        <v>699</v>
      </c>
      <c r="C104" s="10" t="s">
        <v>119</v>
      </c>
      <c r="D104" s="146"/>
      <c r="E104" s="146"/>
      <c r="F104" s="20" t="s">
        <v>26</v>
      </c>
      <c r="G104" s="161">
        <v>1</v>
      </c>
      <c r="H104" s="140" t="s">
        <v>652</v>
      </c>
      <c r="J104" s="176" t="b">
        <f>EXACT(G104,'Vh5205_C-81'!G104)</f>
        <v>1</v>
      </c>
    </row>
    <row r="105" spans="1:10" x14ac:dyDescent="0.35">
      <c r="A105" s="90">
        <v>102</v>
      </c>
      <c r="B105" s="10" t="s">
        <v>699</v>
      </c>
      <c r="C105" s="10" t="s">
        <v>121</v>
      </c>
      <c r="D105" s="146"/>
      <c r="E105" s="146" t="s">
        <v>0</v>
      </c>
      <c r="F105" s="20" t="s">
        <v>26</v>
      </c>
      <c r="G105" s="161" t="s">
        <v>487</v>
      </c>
      <c r="H105" s="140" t="s">
        <v>652</v>
      </c>
      <c r="J105" s="176" t="b">
        <f>EXACT(G105,'Vh5205_C-81'!G105)</f>
        <v>1</v>
      </c>
    </row>
    <row r="106" spans="1:10" x14ac:dyDescent="0.35">
      <c r="A106" s="90">
        <v>103</v>
      </c>
      <c r="B106" s="13" t="s">
        <v>699</v>
      </c>
      <c r="C106" s="13" t="s">
        <v>430</v>
      </c>
      <c r="D106" s="87"/>
      <c r="E106" s="87"/>
      <c r="F106" s="22" t="s">
        <v>26</v>
      </c>
      <c r="G106" s="194" t="s">
        <v>196</v>
      </c>
      <c r="H106" s="182" t="s">
        <v>652</v>
      </c>
      <c r="J106" s="176" t="b">
        <f>EXACT(G106,'Vh5205_C-81'!G106)</f>
        <v>1</v>
      </c>
    </row>
    <row r="107" spans="1:10" x14ac:dyDescent="0.35">
      <c r="A107" s="90">
        <v>104</v>
      </c>
      <c r="B107" s="10" t="s">
        <v>700</v>
      </c>
      <c r="C107" s="10" t="s">
        <v>458</v>
      </c>
      <c r="D107" s="146"/>
      <c r="E107" s="146"/>
      <c r="F107" s="20" t="s">
        <v>26</v>
      </c>
      <c r="G107" s="197" t="s">
        <v>196</v>
      </c>
      <c r="H107" s="140" t="s">
        <v>652</v>
      </c>
      <c r="J107" s="176" t="b">
        <f>EXACT(G107,'Vh5205_C-81'!G107)</f>
        <v>1</v>
      </c>
    </row>
    <row r="108" spans="1:10" ht="31" x14ac:dyDescent="0.35">
      <c r="A108" s="90">
        <v>105</v>
      </c>
      <c r="B108" s="104" t="s">
        <v>700</v>
      </c>
      <c r="C108" s="104" t="s">
        <v>459</v>
      </c>
      <c r="D108" s="104"/>
      <c r="E108" s="104"/>
      <c r="F108" s="20" t="s">
        <v>26</v>
      </c>
      <c r="G108" s="161" t="s">
        <v>609</v>
      </c>
      <c r="H108" s="140" t="s">
        <v>652</v>
      </c>
      <c r="J108" s="176" t="b">
        <f>EXACT(G108,'Vh5205_C-81'!G108)</f>
        <v>1</v>
      </c>
    </row>
    <row r="109" spans="1:10" x14ac:dyDescent="0.35">
      <c r="A109" s="90">
        <v>106</v>
      </c>
      <c r="B109" s="104" t="s">
        <v>700</v>
      </c>
      <c r="C109" s="104" t="s">
        <v>161</v>
      </c>
      <c r="D109" s="104"/>
      <c r="E109" s="104"/>
      <c r="F109" s="20" t="s">
        <v>79</v>
      </c>
      <c r="G109" s="161" t="s">
        <v>539</v>
      </c>
      <c r="H109" s="140" t="s">
        <v>652</v>
      </c>
      <c r="J109" s="176" t="b">
        <f>EXACT(G109,'Vh5205_C-81'!G109)</f>
        <v>1</v>
      </c>
    </row>
    <row r="110" spans="1:10" x14ac:dyDescent="0.35">
      <c r="A110" s="90">
        <v>107</v>
      </c>
      <c r="B110" s="104" t="s">
        <v>700</v>
      </c>
      <c r="C110" s="104" t="s">
        <v>272</v>
      </c>
      <c r="D110" s="104"/>
      <c r="E110" s="104"/>
      <c r="F110" s="20" t="s">
        <v>26</v>
      </c>
      <c r="G110" s="207">
        <v>45098</v>
      </c>
      <c r="H110" s="140" t="s">
        <v>652</v>
      </c>
      <c r="J110" s="176" t="b">
        <f>EXACT(G110,'Vh5205_C-81'!G110)</f>
        <v>1</v>
      </c>
    </row>
    <row r="111" spans="1:10" x14ac:dyDescent="0.35">
      <c r="A111" s="90">
        <v>108</v>
      </c>
      <c r="B111" s="104" t="s">
        <v>700</v>
      </c>
      <c r="C111" s="104" t="s">
        <v>271</v>
      </c>
      <c r="D111" s="104"/>
      <c r="E111" s="104"/>
      <c r="F111" s="20" t="s">
        <v>26</v>
      </c>
      <c r="G111" s="192" t="s">
        <v>504</v>
      </c>
      <c r="H111" s="140" t="s">
        <v>652</v>
      </c>
      <c r="J111" s="176" t="b">
        <f>EXACT(G111,'Vh5205_C-81'!G111)</f>
        <v>1</v>
      </c>
    </row>
    <row r="112" spans="1:10" x14ac:dyDescent="0.35">
      <c r="A112" s="90">
        <v>109</v>
      </c>
      <c r="B112" s="10" t="s">
        <v>700</v>
      </c>
      <c r="C112" s="10" t="s">
        <v>120</v>
      </c>
      <c r="D112" s="146"/>
      <c r="E112" s="146"/>
      <c r="F112" s="20" t="s">
        <v>26</v>
      </c>
      <c r="G112" s="192" t="s">
        <v>524</v>
      </c>
      <c r="H112" s="140" t="s">
        <v>652</v>
      </c>
      <c r="J112" s="176" t="b">
        <f>EXACT(G112,'Vh5205_C-81'!G112)</f>
        <v>1</v>
      </c>
    </row>
    <row r="113" spans="1:10" x14ac:dyDescent="0.35">
      <c r="A113" s="90">
        <v>110</v>
      </c>
      <c r="B113" s="10" t="s">
        <v>700</v>
      </c>
      <c r="C113" s="10" t="s">
        <v>119</v>
      </c>
      <c r="D113" s="146"/>
      <c r="E113" s="146"/>
      <c r="F113" s="20" t="s">
        <v>26</v>
      </c>
      <c r="G113" s="192" t="s">
        <v>524</v>
      </c>
      <c r="H113" s="140" t="s">
        <v>652</v>
      </c>
      <c r="J113" s="176" t="b">
        <f>EXACT(G113,'Vh5205_C-81'!G113)</f>
        <v>1</v>
      </c>
    </row>
    <row r="114" spans="1:10" x14ac:dyDescent="0.35">
      <c r="A114" s="90">
        <v>111</v>
      </c>
      <c r="B114" s="13" t="s">
        <v>700</v>
      </c>
      <c r="C114" s="13" t="s">
        <v>121</v>
      </c>
      <c r="D114" s="87"/>
      <c r="E114" s="87" t="s">
        <v>0</v>
      </c>
      <c r="F114" s="21" t="s">
        <v>26</v>
      </c>
      <c r="G114" s="194" t="s">
        <v>505</v>
      </c>
      <c r="H114" s="182" t="s">
        <v>652</v>
      </c>
      <c r="J114" s="176" t="b">
        <f>EXACT(G114,'Vh5205_C-81'!G114)</f>
        <v>1</v>
      </c>
    </row>
    <row r="115" spans="1:10" x14ac:dyDescent="0.35">
      <c r="A115" s="90">
        <v>112</v>
      </c>
      <c r="B115" s="102" t="s">
        <v>701</v>
      </c>
      <c r="C115" s="102" t="s">
        <v>308</v>
      </c>
      <c r="D115" s="146"/>
      <c r="E115" s="146"/>
      <c r="F115" s="39" t="s">
        <v>26</v>
      </c>
      <c r="G115" s="197" t="s">
        <v>347</v>
      </c>
      <c r="H115" s="140" t="s">
        <v>652</v>
      </c>
      <c r="J115" s="176" t="b">
        <f>EXACT(G115,'Vh5205_C-81'!G115)</f>
        <v>1</v>
      </c>
    </row>
    <row r="116" spans="1:10" s="7" customFormat="1" x14ac:dyDescent="0.35">
      <c r="A116" s="90">
        <v>113</v>
      </c>
      <c r="B116" s="13" t="s">
        <v>701</v>
      </c>
      <c r="C116" s="13" t="s">
        <v>163</v>
      </c>
      <c r="D116" s="87"/>
      <c r="E116" s="87"/>
      <c r="F116" s="22" t="s">
        <v>26</v>
      </c>
      <c r="G116" s="194" t="s">
        <v>196</v>
      </c>
      <c r="H116" s="182" t="s">
        <v>652</v>
      </c>
      <c r="J116" s="176" t="b">
        <f>EXACT(G116,'Vh5205_C-81'!G116)</f>
        <v>1</v>
      </c>
    </row>
    <row r="117" spans="1:10" s="7" customFormat="1" x14ac:dyDescent="0.35">
      <c r="A117" s="90">
        <v>114</v>
      </c>
      <c r="B117" s="102" t="s">
        <v>702</v>
      </c>
      <c r="C117" s="102" t="s">
        <v>164</v>
      </c>
      <c r="D117" s="100"/>
      <c r="E117" s="100"/>
      <c r="F117" s="18" t="s">
        <v>26</v>
      </c>
      <c r="G117" s="206" t="s">
        <v>196</v>
      </c>
      <c r="H117" s="140" t="s">
        <v>652</v>
      </c>
      <c r="J117" s="176" t="b">
        <f>EXACT(G117,'Vh5205_C-81'!G117)</f>
        <v>1</v>
      </c>
    </row>
    <row r="118" spans="1:10" s="7" customFormat="1" x14ac:dyDescent="0.35">
      <c r="A118" s="90">
        <v>115</v>
      </c>
      <c r="B118" s="13" t="s">
        <v>702</v>
      </c>
      <c r="C118" s="13" t="s">
        <v>191</v>
      </c>
      <c r="D118" s="87"/>
      <c r="E118" s="87"/>
      <c r="F118" s="22" t="s">
        <v>79</v>
      </c>
      <c r="G118" s="194" t="s">
        <v>196</v>
      </c>
      <c r="H118" s="182" t="s">
        <v>652</v>
      </c>
      <c r="J118" s="176" t="b">
        <f>EXACT(G118,'Vh5205_C-81'!G118)</f>
        <v>1</v>
      </c>
    </row>
    <row r="119" spans="1:10" s="7" customFormat="1" x14ac:dyDescent="0.35">
      <c r="A119" s="90">
        <v>116</v>
      </c>
      <c r="B119" s="146" t="s">
        <v>703</v>
      </c>
      <c r="C119" s="146" t="s">
        <v>106</v>
      </c>
      <c r="D119" s="146"/>
      <c r="E119" s="146"/>
      <c r="F119" s="19" t="s">
        <v>26</v>
      </c>
      <c r="G119" s="197" t="s">
        <v>488</v>
      </c>
      <c r="H119" s="140" t="s">
        <v>652</v>
      </c>
      <c r="J119" s="176" t="b">
        <f>EXACT(G119,'Vh5205_C-81'!G119)</f>
        <v>1</v>
      </c>
    </row>
    <row r="120" spans="1:10" x14ac:dyDescent="0.35">
      <c r="A120" s="90">
        <v>117</v>
      </c>
      <c r="B120" s="146" t="s">
        <v>703</v>
      </c>
      <c r="C120" s="146" t="s">
        <v>434</v>
      </c>
      <c r="D120" s="5"/>
      <c r="E120" s="5"/>
      <c r="F120" s="19" t="s">
        <v>26</v>
      </c>
      <c r="G120" s="161" t="s">
        <v>506</v>
      </c>
      <c r="H120" s="140" t="s">
        <v>652</v>
      </c>
      <c r="J120" s="176" t="b">
        <f>EXACT(G120,'Vh5205_C-81'!G120)</f>
        <v>1</v>
      </c>
    </row>
    <row r="121" spans="1:10" ht="31" x14ac:dyDescent="0.35">
      <c r="A121" s="90">
        <v>118</v>
      </c>
      <c r="B121" s="87" t="s">
        <v>703</v>
      </c>
      <c r="C121" s="87" t="s">
        <v>350</v>
      </c>
      <c r="D121" s="93"/>
      <c r="E121" s="93"/>
      <c r="F121" s="22" t="s">
        <v>26</v>
      </c>
      <c r="G121" s="194" t="s">
        <v>196</v>
      </c>
      <c r="H121" s="182" t="s">
        <v>652</v>
      </c>
      <c r="J121" s="176" t="b">
        <f>EXACT(G121,'Vh5205_C-81'!G121)</f>
        <v>1</v>
      </c>
    </row>
    <row r="122" spans="1:10" x14ac:dyDescent="0.35">
      <c r="A122" s="90">
        <v>119</v>
      </c>
      <c r="B122" s="5" t="s">
        <v>704</v>
      </c>
      <c r="C122" s="5" t="s">
        <v>135</v>
      </c>
      <c r="D122" s="5"/>
      <c r="E122" s="5"/>
      <c r="F122" s="19" t="s">
        <v>26</v>
      </c>
      <c r="G122" s="206" t="s">
        <v>269</v>
      </c>
      <c r="H122" s="140" t="s">
        <v>652</v>
      </c>
      <c r="J122" s="176" t="b">
        <f>EXACT(G122,'Vh5205_C-81'!G122)</f>
        <v>1</v>
      </c>
    </row>
    <row r="123" spans="1:10" s="7" customFormat="1" ht="46.5" x14ac:dyDescent="0.35">
      <c r="A123" s="90">
        <v>120</v>
      </c>
      <c r="B123" s="146" t="s">
        <v>704</v>
      </c>
      <c r="C123" s="146" t="s">
        <v>316</v>
      </c>
      <c r="D123" s="146"/>
      <c r="E123" s="146"/>
      <c r="F123" s="19" t="s">
        <v>79</v>
      </c>
      <c r="G123" s="161" t="s">
        <v>528</v>
      </c>
      <c r="H123" s="177"/>
      <c r="J123" s="1" t="b">
        <f>EXACT(G123,'Vh5205_C-81'!G123)</f>
        <v>1</v>
      </c>
    </row>
    <row r="124" spans="1:10" x14ac:dyDescent="0.35">
      <c r="A124" s="90">
        <v>121</v>
      </c>
      <c r="B124" s="5" t="s">
        <v>704</v>
      </c>
      <c r="C124" s="5" t="s">
        <v>354</v>
      </c>
      <c r="D124" s="5"/>
      <c r="E124" s="5"/>
      <c r="F124" s="19" t="s">
        <v>26</v>
      </c>
      <c r="G124" s="161" t="s">
        <v>205</v>
      </c>
      <c r="H124" s="164" t="s">
        <v>652</v>
      </c>
      <c r="J124" s="176" t="b">
        <f>EXACT(G124,'Vh5205_C-81'!G124)</f>
        <v>1</v>
      </c>
    </row>
    <row r="125" spans="1:10" x14ac:dyDescent="0.35">
      <c r="A125" s="90">
        <v>122</v>
      </c>
      <c r="B125" s="5" t="s">
        <v>704</v>
      </c>
      <c r="C125" s="5" t="s">
        <v>139</v>
      </c>
      <c r="D125" s="5"/>
      <c r="E125" s="5" t="s">
        <v>2</v>
      </c>
      <c r="F125" s="19" t="s">
        <v>79</v>
      </c>
      <c r="G125" s="192" t="s">
        <v>489</v>
      </c>
      <c r="H125" s="164" t="s">
        <v>652</v>
      </c>
      <c r="J125" s="176" t="b">
        <f>EXACT(G125,'Vh5205_C-81'!G125)</f>
        <v>1</v>
      </c>
    </row>
    <row r="126" spans="1:10" x14ac:dyDescent="0.35">
      <c r="A126" s="90">
        <v>123</v>
      </c>
      <c r="B126" s="5" t="s">
        <v>704</v>
      </c>
      <c r="C126" s="5" t="s">
        <v>140</v>
      </c>
      <c r="D126" s="5"/>
      <c r="E126" s="5"/>
      <c r="F126" s="19" t="s">
        <v>79</v>
      </c>
      <c r="G126" s="192" t="s">
        <v>538</v>
      </c>
      <c r="H126" s="164" t="s">
        <v>652</v>
      </c>
      <c r="J126" s="176" t="b">
        <f>EXACT(G126,'Vh5205_C-81'!G126)</f>
        <v>1</v>
      </c>
    </row>
    <row r="127" spans="1:10" s="7" customFormat="1" x14ac:dyDescent="0.35">
      <c r="A127" s="90">
        <v>124</v>
      </c>
      <c r="B127" s="10" t="s">
        <v>704</v>
      </c>
      <c r="C127" s="10" t="s">
        <v>122</v>
      </c>
      <c r="D127" s="146"/>
      <c r="E127" s="146"/>
      <c r="F127" s="20" t="s">
        <v>26</v>
      </c>
      <c r="G127" s="161" t="s">
        <v>196</v>
      </c>
      <c r="H127" s="164" t="s">
        <v>652</v>
      </c>
      <c r="J127" s="176" t="b">
        <f>EXACT(G127,'Vh5205_C-81'!G127)</f>
        <v>1</v>
      </c>
    </row>
    <row r="128" spans="1:10" x14ac:dyDescent="0.35">
      <c r="A128" s="90">
        <v>125</v>
      </c>
      <c r="B128" s="5" t="s">
        <v>704</v>
      </c>
      <c r="C128" s="5" t="s">
        <v>137</v>
      </c>
      <c r="D128" s="5"/>
      <c r="E128" s="5"/>
      <c r="F128" s="19" t="s">
        <v>26</v>
      </c>
      <c r="G128" s="192" t="s">
        <v>359</v>
      </c>
      <c r="H128" s="164" t="s">
        <v>652</v>
      </c>
      <c r="J128" s="176" t="b">
        <f>EXACT(G128,'Vh5205_C-81'!G128)</f>
        <v>1</v>
      </c>
    </row>
    <row r="129" spans="1:10" s="7" customFormat="1" x14ac:dyDescent="0.35">
      <c r="A129" s="90">
        <v>126</v>
      </c>
      <c r="B129" s="146" t="s">
        <v>704</v>
      </c>
      <c r="C129" s="146" t="s">
        <v>120</v>
      </c>
      <c r="D129" s="146"/>
      <c r="E129" s="146"/>
      <c r="F129" s="20" t="s">
        <v>26</v>
      </c>
      <c r="G129" s="161" t="s">
        <v>490</v>
      </c>
      <c r="H129" s="164" t="s">
        <v>652</v>
      </c>
      <c r="J129" s="176" t="b">
        <f>EXACT(G129,'Vh5205_C-81'!G129)</f>
        <v>1</v>
      </c>
    </row>
    <row r="130" spans="1:10" s="7" customFormat="1" x14ac:dyDescent="0.35">
      <c r="A130" s="90">
        <v>127</v>
      </c>
      <c r="B130" s="104" t="s">
        <v>704</v>
      </c>
      <c r="C130" s="104" t="s">
        <v>161</v>
      </c>
      <c r="D130" s="146"/>
      <c r="E130" s="146"/>
      <c r="F130" s="20" t="s">
        <v>79</v>
      </c>
      <c r="G130" s="161" t="s">
        <v>539</v>
      </c>
      <c r="H130" s="164" t="s">
        <v>652</v>
      </c>
      <c r="J130" s="176" t="b">
        <f>EXACT(G130,'Vh5205_C-81'!G130)</f>
        <v>1</v>
      </c>
    </row>
    <row r="131" spans="1:10" s="7" customFormat="1" x14ac:dyDescent="0.35">
      <c r="A131" s="90">
        <v>128</v>
      </c>
      <c r="B131" s="104" t="s">
        <v>704</v>
      </c>
      <c r="C131" s="104" t="s">
        <v>358</v>
      </c>
      <c r="D131" s="146"/>
      <c r="E131" s="146"/>
      <c r="F131" s="20" t="s">
        <v>26</v>
      </c>
      <c r="G131" s="195">
        <v>44781</v>
      </c>
      <c r="H131" s="177"/>
      <c r="J131" s="1" t="b">
        <f>EXACT(G131,'Vh5205_C-81'!G131)</f>
        <v>1</v>
      </c>
    </row>
    <row r="132" spans="1:10" s="7" customFormat="1" x14ac:dyDescent="0.35">
      <c r="A132" s="90">
        <v>129</v>
      </c>
      <c r="B132" s="104" t="s">
        <v>704</v>
      </c>
      <c r="C132" s="104" t="s">
        <v>271</v>
      </c>
      <c r="D132" s="146"/>
      <c r="E132" s="146"/>
      <c r="F132" s="20" t="s">
        <v>26</v>
      </c>
      <c r="G132" s="161" t="s">
        <v>504</v>
      </c>
      <c r="H132" s="177" t="s">
        <v>652</v>
      </c>
      <c r="J132" s="176" t="b">
        <f>EXACT(G132,'Vh5205_C-81'!G132)</f>
        <v>1</v>
      </c>
    </row>
    <row r="133" spans="1:10" ht="46.5" x14ac:dyDescent="0.35">
      <c r="A133" s="90">
        <v>130</v>
      </c>
      <c r="B133" s="91" t="s">
        <v>704</v>
      </c>
      <c r="C133" s="91" t="s">
        <v>315</v>
      </c>
      <c r="D133" s="5"/>
      <c r="E133" s="5" t="s">
        <v>85</v>
      </c>
      <c r="F133" s="19" t="s">
        <v>79</v>
      </c>
      <c r="G133" s="198" t="s">
        <v>525</v>
      </c>
      <c r="H133" s="177" t="s">
        <v>652</v>
      </c>
      <c r="J133" s="176" t="b">
        <f>EXACT(G133,'Vh5205_C-81'!G133)</f>
        <v>1</v>
      </c>
    </row>
    <row r="134" spans="1:10" s="7" customFormat="1" x14ac:dyDescent="0.35">
      <c r="A134" s="90">
        <v>131</v>
      </c>
      <c r="B134" s="146" t="s">
        <v>704</v>
      </c>
      <c r="C134" s="146" t="s">
        <v>121</v>
      </c>
      <c r="D134" s="146"/>
      <c r="E134" s="146" t="s">
        <v>85</v>
      </c>
      <c r="F134" s="20" t="s">
        <v>26</v>
      </c>
      <c r="G134" s="161" t="s">
        <v>491</v>
      </c>
      <c r="H134" s="177" t="s">
        <v>652</v>
      </c>
      <c r="J134" s="176" t="b">
        <f>EXACT(G134,'Vh5205_C-81'!G134)</f>
        <v>1</v>
      </c>
    </row>
    <row r="135" spans="1:10" x14ac:dyDescent="0.35">
      <c r="A135" s="90">
        <v>132</v>
      </c>
      <c r="B135" s="5" t="s">
        <v>704</v>
      </c>
      <c r="C135" s="5" t="s">
        <v>165</v>
      </c>
      <c r="D135" s="5"/>
      <c r="E135" s="5"/>
      <c r="F135" s="19" t="s">
        <v>26</v>
      </c>
      <c r="G135" s="192" t="s">
        <v>540</v>
      </c>
      <c r="H135" s="177" t="s">
        <v>652</v>
      </c>
      <c r="J135" s="176" t="b">
        <f>EXACT(G135,'Vh5205_C-81'!G135)</f>
        <v>1</v>
      </c>
    </row>
    <row r="136" spans="1:10" x14ac:dyDescent="0.35">
      <c r="A136" s="90">
        <v>133</v>
      </c>
      <c r="B136" s="5" t="s">
        <v>704</v>
      </c>
      <c r="C136" s="5" t="s">
        <v>166</v>
      </c>
      <c r="D136" s="5"/>
      <c r="E136" s="5"/>
      <c r="F136" s="19" t="s">
        <v>26</v>
      </c>
      <c r="G136" s="161">
        <v>3</v>
      </c>
      <c r="H136" s="177" t="s">
        <v>652</v>
      </c>
      <c r="J136" s="176" t="b">
        <f>EXACT(G136,'Vh5205_C-81'!G136)</f>
        <v>1</v>
      </c>
    </row>
    <row r="137" spans="1:10" x14ac:dyDescent="0.35">
      <c r="A137" s="90">
        <v>134</v>
      </c>
      <c r="B137" s="5" t="s">
        <v>704</v>
      </c>
      <c r="C137" s="5" t="s">
        <v>141</v>
      </c>
      <c r="D137" s="5"/>
      <c r="E137" s="5"/>
      <c r="F137" s="19" t="s">
        <v>26</v>
      </c>
      <c r="G137" s="161" t="s">
        <v>522</v>
      </c>
      <c r="H137" s="177" t="s">
        <v>652</v>
      </c>
      <c r="J137" s="176" t="b">
        <f>EXACT(G137,'Vh5205_C-81'!G137)</f>
        <v>1</v>
      </c>
    </row>
    <row r="138" spans="1:10" s="7" customFormat="1" x14ac:dyDescent="0.35">
      <c r="A138" s="90"/>
      <c r="B138" s="114" t="s">
        <v>704</v>
      </c>
      <c r="C138" s="114"/>
      <c r="D138" s="87"/>
      <c r="E138" s="87"/>
      <c r="F138" s="21"/>
      <c r="G138" s="196"/>
      <c r="H138" s="180"/>
      <c r="J138" s="1" t="b">
        <f>EXACT(G138,'Vh5205_C-81'!G138)</f>
        <v>1</v>
      </c>
    </row>
    <row r="139" spans="1:10" s="7" customFormat="1" x14ac:dyDescent="0.35">
      <c r="A139" s="90">
        <v>135</v>
      </c>
      <c r="B139" s="10" t="s">
        <v>705</v>
      </c>
      <c r="C139" s="10" t="s">
        <v>142</v>
      </c>
      <c r="D139" s="146"/>
      <c r="E139" s="146"/>
      <c r="F139" s="20" t="s">
        <v>26</v>
      </c>
      <c r="G139" s="192" t="s">
        <v>196</v>
      </c>
      <c r="H139" s="177" t="s">
        <v>652</v>
      </c>
      <c r="J139" s="176" t="b">
        <f>EXACT(G139,'Vh5205_C-81'!G139)</f>
        <v>1</v>
      </c>
    </row>
    <row r="140" spans="1:10" x14ac:dyDescent="0.35">
      <c r="A140" s="90">
        <v>136</v>
      </c>
      <c r="B140" s="5" t="s">
        <v>705</v>
      </c>
      <c r="C140" s="5" t="s">
        <v>138</v>
      </c>
      <c r="D140" s="5"/>
      <c r="E140" s="5"/>
      <c r="F140" s="19" t="s">
        <v>79</v>
      </c>
      <c r="G140" s="161" t="s">
        <v>526</v>
      </c>
      <c r="H140" s="177" t="s">
        <v>652</v>
      </c>
      <c r="J140" s="176" t="b">
        <f>EXACT(G140,'Vh5205_C-81'!G140)</f>
        <v>1</v>
      </c>
    </row>
    <row r="141" spans="1:10" x14ac:dyDescent="0.35">
      <c r="A141" s="90">
        <v>137</v>
      </c>
      <c r="B141" s="104" t="s">
        <v>705</v>
      </c>
      <c r="C141" s="104" t="s">
        <v>161</v>
      </c>
      <c r="D141" s="104"/>
      <c r="E141" s="104"/>
      <c r="F141" s="19" t="s">
        <v>79</v>
      </c>
      <c r="G141" s="161" t="s">
        <v>539</v>
      </c>
      <c r="H141" s="177" t="s">
        <v>652</v>
      </c>
      <c r="J141" s="176" t="b">
        <f>EXACT(G141,'Vh5205_C-81'!G141)</f>
        <v>1</v>
      </c>
    </row>
    <row r="142" spans="1:10" x14ac:dyDescent="0.35">
      <c r="A142" s="90">
        <v>138</v>
      </c>
      <c r="B142" s="104" t="s">
        <v>705</v>
      </c>
      <c r="C142" s="104" t="s">
        <v>358</v>
      </c>
      <c r="D142" s="104"/>
      <c r="E142" s="104"/>
      <c r="F142" s="20" t="s">
        <v>26</v>
      </c>
      <c r="G142" s="195">
        <v>44754</v>
      </c>
      <c r="H142" s="140"/>
      <c r="J142" s="1" t="b">
        <f>EXACT(G142,'Vh5205_C-81'!G142)</f>
        <v>1</v>
      </c>
    </row>
    <row r="143" spans="1:10" x14ac:dyDescent="0.35">
      <c r="A143" s="90">
        <v>139</v>
      </c>
      <c r="B143" s="104" t="s">
        <v>705</v>
      </c>
      <c r="C143" s="104" t="s">
        <v>271</v>
      </c>
      <c r="D143" s="104"/>
      <c r="E143" s="104"/>
      <c r="F143" s="20" t="s">
        <v>26</v>
      </c>
      <c r="G143" s="161" t="s">
        <v>492</v>
      </c>
      <c r="H143" s="177" t="s">
        <v>652</v>
      </c>
      <c r="J143" s="176" t="b">
        <f>EXACT(G143,'Vh5205_C-81'!G143)</f>
        <v>1</v>
      </c>
    </row>
    <row r="144" spans="1:10" x14ac:dyDescent="0.35">
      <c r="A144" s="90">
        <v>140</v>
      </c>
      <c r="B144" s="5" t="s">
        <v>705</v>
      </c>
      <c r="C144" s="5" t="s">
        <v>137</v>
      </c>
      <c r="D144" s="5"/>
      <c r="E144" s="5"/>
      <c r="F144" s="19" t="s">
        <v>26</v>
      </c>
      <c r="G144" s="161" t="s">
        <v>493</v>
      </c>
      <c r="H144" s="177" t="s">
        <v>652</v>
      </c>
      <c r="J144" s="176" t="b">
        <f>EXACT(G144,'Vh5205_C-81'!G144)</f>
        <v>1</v>
      </c>
    </row>
    <row r="145" spans="1:10" x14ac:dyDescent="0.35">
      <c r="A145" s="90">
        <v>141</v>
      </c>
      <c r="B145" s="146" t="s">
        <v>705</v>
      </c>
      <c r="C145" s="146" t="s">
        <v>120</v>
      </c>
      <c r="D145" s="146"/>
      <c r="E145" s="146"/>
      <c r="F145" s="19" t="s">
        <v>26</v>
      </c>
      <c r="G145" s="161" t="s">
        <v>273</v>
      </c>
      <c r="H145" s="177" t="s">
        <v>652</v>
      </c>
      <c r="J145" s="176" t="b">
        <f>EXACT(G145,'Vh5205_C-81'!G145)</f>
        <v>1</v>
      </c>
    </row>
    <row r="146" spans="1:10" x14ac:dyDescent="0.35">
      <c r="A146" s="90">
        <v>142</v>
      </c>
      <c r="B146" s="91" t="s">
        <v>705</v>
      </c>
      <c r="C146" s="91" t="s">
        <v>315</v>
      </c>
      <c r="D146" s="5"/>
      <c r="E146" s="5" t="s">
        <v>85</v>
      </c>
      <c r="F146" s="19" t="s">
        <v>79</v>
      </c>
      <c r="G146" s="198" t="s">
        <v>532</v>
      </c>
      <c r="H146" s="140"/>
      <c r="J146" s="1" t="b">
        <f>EXACT(G146,'Vh5205_C-81'!G146)</f>
        <v>1</v>
      </c>
    </row>
    <row r="147" spans="1:10" x14ac:dyDescent="0.35">
      <c r="A147" s="90">
        <v>143</v>
      </c>
      <c r="B147" s="87" t="s">
        <v>705</v>
      </c>
      <c r="C147" s="87" t="s">
        <v>121</v>
      </c>
      <c r="D147" s="93"/>
      <c r="E147" s="87" t="s">
        <v>85</v>
      </c>
      <c r="F147" s="22" t="s">
        <v>26</v>
      </c>
      <c r="G147" s="196" t="s">
        <v>274</v>
      </c>
      <c r="H147" s="180" t="s">
        <v>652</v>
      </c>
      <c r="J147" s="176" t="b">
        <f>EXACT(G147,'Vh5205_C-81'!G147)</f>
        <v>1</v>
      </c>
    </row>
    <row r="148" spans="1:10" x14ac:dyDescent="0.35">
      <c r="A148" s="90">
        <v>144</v>
      </c>
      <c r="B148" s="111" t="s">
        <v>706</v>
      </c>
      <c r="C148" s="111" t="s">
        <v>287</v>
      </c>
      <c r="D148" s="111"/>
      <c r="E148" s="111"/>
      <c r="F148" s="18" t="s">
        <v>26</v>
      </c>
      <c r="G148" s="197" t="s">
        <v>281</v>
      </c>
      <c r="H148" s="177" t="s">
        <v>652</v>
      </c>
      <c r="J148" s="176" t="b">
        <f>EXACT(G148,'Vh5205_C-81'!G148)</f>
        <v>1</v>
      </c>
    </row>
    <row r="149" spans="1:10" x14ac:dyDescent="0.35">
      <c r="A149" s="90">
        <v>145</v>
      </c>
      <c r="B149" s="5" t="s">
        <v>706</v>
      </c>
      <c r="C149" s="5" t="s">
        <v>366</v>
      </c>
      <c r="D149" s="5"/>
      <c r="E149" s="5"/>
      <c r="F149" s="19" t="s">
        <v>26</v>
      </c>
      <c r="G149" s="161" t="s">
        <v>288</v>
      </c>
      <c r="H149" s="177" t="s">
        <v>652</v>
      </c>
      <c r="J149" s="176" t="b">
        <f>EXACT(G149,'Vh5205_C-81'!G149)</f>
        <v>1</v>
      </c>
    </row>
    <row r="150" spans="1:10" x14ac:dyDescent="0.35">
      <c r="A150" s="90">
        <v>146</v>
      </c>
      <c r="B150" s="93" t="s">
        <v>706</v>
      </c>
      <c r="C150" s="93" t="s">
        <v>367</v>
      </c>
      <c r="D150" s="93"/>
      <c r="E150" s="93"/>
      <c r="F150" s="22" t="s">
        <v>26</v>
      </c>
      <c r="G150" s="194" t="s">
        <v>524</v>
      </c>
      <c r="H150" s="180" t="s">
        <v>652</v>
      </c>
      <c r="J150" s="176" t="b">
        <f>EXACT(G150,'Vh5205_C-81'!G150)</f>
        <v>1</v>
      </c>
    </row>
    <row r="151" spans="1:10" s="7" customFormat="1" x14ac:dyDescent="0.35">
      <c r="A151" s="90">
        <v>147</v>
      </c>
      <c r="B151" s="100" t="s">
        <v>707</v>
      </c>
      <c r="C151" s="100" t="s">
        <v>169</v>
      </c>
      <c r="D151" s="146"/>
      <c r="E151" s="146"/>
      <c r="F151" s="19" t="s">
        <v>26</v>
      </c>
      <c r="G151" s="206" t="s">
        <v>541</v>
      </c>
      <c r="H151" s="177" t="s">
        <v>652</v>
      </c>
      <c r="J151" s="176" t="b">
        <f>EXACT(G151,'Vh5205_C-81'!G151)</f>
        <v>1</v>
      </c>
    </row>
    <row r="152" spans="1:10" s="7" customFormat="1" x14ac:dyDescent="0.35">
      <c r="A152" s="90">
        <v>148</v>
      </c>
      <c r="B152" s="146" t="s">
        <v>707</v>
      </c>
      <c r="C152" s="146" t="s">
        <v>192</v>
      </c>
      <c r="D152" s="146"/>
      <c r="E152" s="146"/>
      <c r="F152" s="19" t="s">
        <v>26</v>
      </c>
      <c r="G152" s="192" t="s">
        <v>542</v>
      </c>
      <c r="H152" s="177" t="s">
        <v>652</v>
      </c>
      <c r="J152" s="176" t="b">
        <f>EXACT(G152,'Vh5205_C-81'!G152)</f>
        <v>1</v>
      </c>
    </row>
    <row r="153" spans="1:10" s="7" customFormat="1" x14ac:dyDescent="0.35">
      <c r="A153" s="90">
        <v>149</v>
      </c>
      <c r="B153" s="146" t="s">
        <v>707</v>
      </c>
      <c r="C153" s="146" t="s">
        <v>170</v>
      </c>
      <c r="D153" s="146"/>
      <c r="E153" s="146"/>
      <c r="F153" s="19" t="s">
        <v>26</v>
      </c>
      <c r="G153" s="192" t="s">
        <v>275</v>
      </c>
      <c r="H153" s="177" t="s">
        <v>652</v>
      </c>
      <c r="J153" s="176" t="b">
        <f>EXACT(G153,'Vh5205_C-81'!G153)</f>
        <v>1</v>
      </c>
    </row>
    <row r="154" spans="1:10" s="7" customFormat="1" x14ac:dyDescent="0.35">
      <c r="A154" s="90">
        <v>150</v>
      </c>
      <c r="B154" s="146" t="s">
        <v>707</v>
      </c>
      <c r="C154" s="146" t="s">
        <v>280</v>
      </c>
      <c r="D154" s="146"/>
      <c r="E154" s="146"/>
      <c r="F154" s="19" t="s">
        <v>79</v>
      </c>
      <c r="G154" s="161" t="s">
        <v>494</v>
      </c>
      <c r="H154" s="177" t="s">
        <v>652</v>
      </c>
      <c r="J154" s="176" t="b">
        <f>EXACT(G154,'Vh5205_C-81'!G154)</f>
        <v>1</v>
      </c>
    </row>
    <row r="155" spans="1:10" s="7" customFormat="1" x14ac:dyDescent="0.35">
      <c r="A155" s="90">
        <v>151</v>
      </c>
      <c r="B155" s="146" t="s">
        <v>707</v>
      </c>
      <c r="C155" s="146" t="s">
        <v>44</v>
      </c>
      <c r="D155" s="146"/>
      <c r="E155" s="146"/>
      <c r="F155" s="19" t="s">
        <v>79</v>
      </c>
      <c r="G155" s="205" t="s">
        <v>495</v>
      </c>
      <c r="H155" s="177" t="s">
        <v>652</v>
      </c>
      <c r="J155" s="176" t="b">
        <f>EXACT(G155,'Vh5205_C-81'!G155)</f>
        <v>1</v>
      </c>
    </row>
    <row r="156" spans="1:10" s="7" customFormat="1" x14ac:dyDescent="0.35">
      <c r="A156" s="90">
        <v>152</v>
      </c>
      <c r="B156" s="10" t="s">
        <v>707</v>
      </c>
      <c r="C156" s="10" t="s">
        <v>289</v>
      </c>
      <c r="D156" s="146"/>
      <c r="E156" s="146"/>
      <c r="F156" s="20" t="s">
        <v>79</v>
      </c>
      <c r="G156" s="192" t="s">
        <v>524</v>
      </c>
      <c r="H156" s="177" t="s">
        <v>652</v>
      </c>
      <c r="J156" s="176" t="b">
        <f>EXACT(G156,'Vh5205_C-81'!G156)</f>
        <v>1</v>
      </c>
    </row>
    <row r="157" spans="1:10" s="7" customFormat="1" x14ac:dyDescent="0.35">
      <c r="A157" s="90">
        <v>153</v>
      </c>
      <c r="B157" s="146" t="s">
        <v>707</v>
      </c>
      <c r="C157" s="146" t="s">
        <v>279</v>
      </c>
      <c r="D157" s="146"/>
      <c r="E157" s="146"/>
      <c r="F157" s="19" t="s">
        <v>79</v>
      </c>
      <c r="G157" s="192" t="s">
        <v>385</v>
      </c>
      <c r="H157" s="177" t="s">
        <v>652</v>
      </c>
      <c r="J157" s="176" t="b">
        <f>EXACT(G157,'Vh5205_C-81'!G157)</f>
        <v>1</v>
      </c>
    </row>
    <row r="158" spans="1:10" s="7" customFormat="1" x14ac:dyDescent="0.35">
      <c r="A158" s="90">
        <v>154</v>
      </c>
      <c r="B158" s="10" t="s">
        <v>707</v>
      </c>
      <c r="C158" s="10" t="s">
        <v>31</v>
      </c>
      <c r="D158" s="146"/>
      <c r="E158" s="146" t="s">
        <v>194</v>
      </c>
      <c r="F158" s="19" t="s">
        <v>26</v>
      </c>
      <c r="G158" s="199" t="s">
        <v>496</v>
      </c>
      <c r="H158" s="177" t="s">
        <v>652</v>
      </c>
      <c r="J158" s="176" t="b">
        <f>EXACT(G158,'Vh5205_C-81'!G158)</f>
        <v>1</v>
      </c>
    </row>
    <row r="159" spans="1:10" s="7" customFormat="1" x14ac:dyDescent="0.35">
      <c r="A159" s="90">
        <v>155</v>
      </c>
      <c r="B159" s="10" t="s">
        <v>707</v>
      </c>
      <c r="C159" s="10" t="s">
        <v>32</v>
      </c>
      <c r="D159" s="146"/>
      <c r="E159" s="146" t="s">
        <v>586</v>
      </c>
      <c r="F159" s="19" t="s">
        <v>26</v>
      </c>
      <c r="G159" s="198" t="s">
        <v>497</v>
      </c>
      <c r="H159" s="177" t="s">
        <v>652</v>
      </c>
      <c r="J159" s="176" t="b">
        <f>EXACT(G159,'Vh5205_C-81'!G159)</f>
        <v>1</v>
      </c>
    </row>
    <row r="160" spans="1:10" s="7" customFormat="1" x14ac:dyDescent="0.35">
      <c r="A160" s="90">
        <v>156</v>
      </c>
      <c r="B160" s="10" t="s">
        <v>707</v>
      </c>
      <c r="C160" s="10" t="s">
        <v>291</v>
      </c>
      <c r="D160" s="146"/>
      <c r="E160" s="146" t="s">
        <v>2</v>
      </c>
      <c r="F160" s="19" t="s">
        <v>26</v>
      </c>
      <c r="G160" s="192">
        <v>25</v>
      </c>
      <c r="H160" s="177" t="s">
        <v>652</v>
      </c>
      <c r="J160" s="176" t="b">
        <f>EXACT(G160,'Vh5205_C-81'!G160)</f>
        <v>1</v>
      </c>
    </row>
    <row r="161" spans="1:10" s="7" customFormat="1" x14ac:dyDescent="0.35">
      <c r="A161" s="90">
        <v>157</v>
      </c>
      <c r="B161" s="146" t="s">
        <v>707</v>
      </c>
      <c r="C161" s="146" t="s">
        <v>293</v>
      </c>
      <c r="D161" s="146"/>
      <c r="E161" s="146"/>
      <c r="F161" s="20" t="s">
        <v>26</v>
      </c>
      <c r="G161" s="192" t="s">
        <v>196</v>
      </c>
      <c r="H161" s="177" t="s">
        <v>652</v>
      </c>
      <c r="J161" s="176" t="b">
        <f>EXACT(G161,'Vh5205_C-81'!G161)</f>
        <v>1</v>
      </c>
    </row>
    <row r="162" spans="1:10" s="7" customFormat="1" x14ac:dyDescent="0.35">
      <c r="A162" s="90">
        <v>158</v>
      </c>
      <c r="B162" s="104" t="s">
        <v>707</v>
      </c>
      <c r="C162" s="104" t="s">
        <v>161</v>
      </c>
      <c r="D162" s="104"/>
      <c r="E162" s="104"/>
      <c r="F162" s="20" t="s">
        <v>79</v>
      </c>
      <c r="G162" s="161" t="s">
        <v>539</v>
      </c>
      <c r="H162" s="177" t="s">
        <v>652</v>
      </c>
      <c r="J162" s="176" t="b">
        <f>EXACT(G162,'Vh5205_C-81'!G162)</f>
        <v>1</v>
      </c>
    </row>
    <row r="163" spans="1:10" x14ac:dyDescent="0.35">
      <c r="A163" s="90">
        <v>159</v>
      </c>
      <c r="B163" s="104" t="s">
        <v>707</v>
      </c>
      <c r="C163" s="104" t="s">
        <v>358</v>
      </c>
      <c r="D163" s="104"/>
      <c r="E163" s="104"/>
      <c r="F163" s="20" t="s">
        <v>26</v>
      </c>
      <c r="G163" s="195">
        <v>44735</v>
      </c>
      <c r="H163" s="140"/>
      <c r="J163" s="2" t="b">
        <f>EXACT(G163,'Vh5205_C-81'!G163)</f>
        <v>1</v>
      </c>
    </row>
    <row r="164" spans="1:10" x14ac:dyDescent="0.35">
      <c r="A164" s="90">
        <v>160</v>
      </c>
      <c r="B164" s="104" t="s">
        <v>707</v>
      </c>
      <c r="C164" s="104" t="s">
        <v>271</v>
      </c>
      <c r="D164" s="104"/>
      <c r="E164" s="104"/>
      <c r="F164" s="20" t="s">
        <v>26</v>
      </c>
      <c r="G164" s="161" t="s">
        <v>492</v>
      </c>
      <c r="H164" s="177" t="s">
        <v>652</v>
      </c>
      <c r="J164" s="176" t="b">
        <f>EXACT(G164,'Vh5205_C-81'!G164)</f>
        <v>1</v>
      </c>
    </row>
    <row r="165" spans="1:10" s="7" customFormat="1" x14ac:dyDescent="0.35">
      <c r="A165" s="90">
        <v>161</v>
      </c>
      <c r="B165" s="146" t="s">
        <v>707</v>
      </c>
      <c r="C165" s="146" t="s">
        <v>119</v>
      </c>
      <c r="D165" s="146"/>
      <c r="E165" s="146"/>
      <c r="F165" s="20" t="s">
        <v>26</v>
      </c>
      <c r="G165" s="161">
        <v>1</v>
      </c>
      <c r="H165" s="177" t="s">
        <v>652</v>
      </c>
      <c r="J165" s="176" t="b">
        <f>EXACT(G165,'Vh5205_C-81'!G165)</f>
        <v>1</v>
      </c>
    </row>
    <row r="166" spans="1:10" s="7" customFormat="1" x14ac:dyDescent="0.35">
      <c r="A166" s="90">
        <v>162</v>
      </c>
      <c r="B166" s="146" t="s">
        <v>707</v>
      </c>
      <c r="C166" s="146" t="s">
        <v>145</v>
      </c>
      <c r="D166" s="146"/>
      <c r="E166" s="10" t="s">
        <v>171</v>
      </c>
      <c r="F166" s="20" t="s">
        <v>26</v>
      </c>
      <c r="G166" s="161" t="s">
        <v>543</v>
      </c>
      <c r="H166" s="177" t="s">
        <v>652</v>
      </c>
      <c r="J166" s="176" t="b">
        <f>EXACT(G166,'Vh5205_C-81'!G166)</f>
        <v>1</v>
      </c>
    </row>
    <row r="167" spans="1:10" s="7" customFormat="1" x14ac:dyDescent="0.35">
      <c r="A167" s="90">
        <v>163</v>
      </c>
      <c r="B167" s="87" t="s">
        <v>707</v>
      </c>
      <c r="C167" s="87" t="s">
        <v>120</v>
      </c>
      <c r="D167" s="87"/>
      <c r="E167" s="87"/>
      <c r="F167" s="21" t="s">
        <v>26</v>
      </c>
      <c r="G167" s="194" t="s">
        <v>276</v>
      </c>
      <c r="H167" s="180" t="s">
        <v>652</v>
      </c>
      <c r="J167" s="176" t="b">
        <f>EXACT(G167,'Vh5205_C-81'!G167)</f>
        <v>1</v>
      </c>
    </row>
    <row r="168" spans="1:10" s="7" customFormat="1" x14ac:dyDescent="0.35">
      <c r="A168" s="90"/>
      <c r="B168" s="10" t="s">
        <v>708</v>
      </c>
      <c r="C168" s="10"/>
      <c r="D168" s="146"/>
      <c r="E168" s="146"/>
      <c r="F168" s="20"/>
      <c r="G168" s="208"/>
      <c r="H168" s="180"/>
      <c r="J168" s="1" t="b">
        <f>EXACT(G168,'Vh5205_C-81'!G168)</f>
        <v>1</v>
      </c>
    </row>
    <row r="169" spans="1:10" s="7" customFormat="1" ht="46.5" x14ac:dyDescent="0.35">
      <c r="A169" s="90">
        <v>164</v>
      </c>
      <c r="B169" s="102" t="s">
        <v>709</v>
      </c>
      <c r="C169" s="102" t="s">
        <v>588</v>
      </c>
      <c r="D169" s="100"/>
      <c r="E169" s="100"/>
      <c r="F169" s="18" t="s">
        <v>26</v>
      </c>
      <c r="G169" s="197" t="s">
        <v>657</v>
      </c>
      <c r="H169" s="177" t="s">
        <v>652</v>
      </c>
      <c r="J169" s="176" t="b">
        <f>EXACT(G169,'Vh5205_C-81'!G169)</f>
        <v>1</v>
      </c>
    </row>
    <row r="170" spans="1:10" s="7" customFormat="1" ht="31" x14ac:dyDescent="0.35">
      <c r="A170" s="90">
        <v>165</v>
      </c>
      <c r="B170" s="10" t="s">
        <v>709</v>
      </c>
      <c r="C170" s="10" t="s">
        <v>589</v>
      </c>
      <c r="D170" s="146"/>
      <c r="E170" s="146"/>
      <c r="F170" s="23" t="s">
        <v>26</v>
      </c>
      <c r="G170" s="161" t="s">
        <v>622</v>
      </c>
      <c r="H170" s="177" t="s">
        <v>652</v>
      </c>
      <c r="J170" s="176" t="b">
        <f>EXACT(G170,'Vh5205_C-81'!G170)</f>
        <v>1</v>
      </c>
    </row>
    <row r="171" spans="1:10" s="7" customFormat="1" ht="17.5" x14ac:dyDescent="0.35">
      <c r="A171" s="90">
        <v>166</v>
      </c>
      <c r="B171" s="10" t="s">
        <v>709</v>
      </c>
      <c r="C171" s="10" t="s">
        <v>498</v>
      </c>
      <c r="D171" s="146"/>
      <c r="E171" s="146"/>
      <c r="F171" s="23" t="s">
        <v>26</v>
      </c>
      <c r="G171" s="161" t="s">
        <v>658</v>
      </c>
      <c r="H171" s="177" t="s">
        <v>652</v>
      </c>
      <c r="J171" s="176" t="b">
        <f>EXACT(G171,'Vh5205_C-81'!G171)</f>
        <v>1</v>
      </c>
    </row>
    <row r="172" spans="1:10" s="7" customFormat="1" x14ac:dyDescent="0.35">
      <c r="A172" s="90">
        <v>167</v>
      </c>
      <c r="B172" s="10" t="s">
        <v>709</v>
      </c>
      <c r="C172" s="10" t="s">
        <v>313</v>
      </c>
      <c r="D172" s="146"/>
      <c r="E172" s="146"/>
      <c r="F172" s="19" t="s">
        <v>26</v>
      </c>
      <c r="G172" s="192" t="s">
        <v>48</v>
      </c>
      <c r="H172" s="177" t="s">
        <v>652</v>
      </c>
      <c r="J172" s="176" t="b">
        <f>EXACT(G172,'Vh5205_C-81'!G172)</f>
        <v>1</v>
      </c>
    </row>
    <row r="173" spans="1:10" s="7" customFormat="1" x14ac:dyDescent="0.35">
      <c r="A173" s="90">
        <v>168</v>
      </c>
      <c r="B173" s="146" t="s">
        <v>709</v>
      </c>
      <c r="C173" s="146" t="s">
        <v>306</v>
      </c>
      <c r="D173" s="146"/>
      <c r="E173" s="146"/>
      <c r="F173" s="19" t="s">
        <v>26</v>
      </c>
      <c r="G173" s="192" t="s">
        <v>524</v>
      </c>
      <c r="H173" s="177" t="s">
        <v>652</v>
      </c>
      <c r="J173" s="176" t="b">
        <f>EXACT(G173,'Vh5205_C-81'!G173)</f>
        <v>1</v>
      </c>
    </row>
    <row r="174" spans="1:10" s="7" customFormat="1" x14ac:dyDescent="0.35">
      <c r="A174" s="90">
        <v>169</v>
      </c>
      <c r="B174" s="87" t="s">
        <v>709</v>
      </c>
      <c r="C174" s="87" t="s">
        <v>307</v>
      </c>
      <c r="D174" s="87"/>
      <c r="E174" s="87"/>
      <c r="F174" s="22" t="s">
        <v>79</v>
      </c>
      <c r="G174" s="196"/>
      <c r="H174" s="180"/>
      <c r="J174" s="1" t="b">
        <f>EXACT(G174,'Vh5205_C-81'!G174)</f>
        <v>1</v>
      </c>
    </row>
    <row r="175" spans="1:10" s="7" customFormat="1" x14ac:dyDescent="0.35">
      <c r="A175" s="90">
        <v>170</v>
      </c>
      <c r="B175" s="146" t="s">
        <v>710</v>
      </c>
      <c r="C175" s="146" t="s">
        <v>10</v>
      </c>
      <c r="D175" s="146" t="s">
        <v>146</v>
      </c>
      <c r="E175" s="146" t="s">
        <v>2</v>
      </c>
      <c r="F175" s="19" t="s">
        <v>26</v>
      </c>
      <c r="G175" s="209">
        <v>6</v>
      </c>
      <c r="H175" s="177"/>
      <c r="J175" s="1" t="b">
        <f>EXACT(G175,'Vh5205_C-81'!G175)</f>
        <v>0</v>
      </c>
    </row>
    <row r="176" spans="1:10" s="7" customFormat="1" ht="17.5" x14ac:dyDescent="0.35">
      <c r="A176" s="90">
        <v>171</v>
      </c>
      <c r="B176" s="146" t="s">
        <v>710</v>
      </c>
      <c r="C176" s="146" t="s">
        <v>11</v>
      </c>
      <c r="D176" s="146" t="s">
        <v>591</v>
      </c>
      <c r="E176" s="146" t="s">
        <v>2</v>
      </c>
      <c r="F176" s="19" t="s">
        <v>26</v>
      </c>
      <c r="G176" s="210">
        <v>24.1</v>
      </c>
      <c r="H176" s="177"/>
      <c r="J176" s="1" t="b">
        <f>EXACT(G176,'Vh5205_C-81'!G176)</f>
        <v>0</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EXACT(G177,'Vh5205_C-81'!G177)</f>
        <v>1</v>
      </c>
    </row>
    <row r="178" spans="1:10" s="7" customFormat="1" x14ac:dyDescent="0.35">
      <c r="A178" s="90">
        <v>173</v>
      </c>
      <c r="B178" s="10" t="s">
        <v>710</v>
      </c>
      <c r="C178" s="10" t="s">
        <v>28</v>
      </c>
      <c r="D178" s="146" t="s">
        <v>593</v>
      </c>
      <c r="E178" s="146" t="s">
        <v>2</v>
      </c>
      <c r="F178" s="19" t="s">
        <v>26</v>
      </c>
      <c r="G178" s="211">
        <v>22.8</v>
      </c>
      <c r="H178" s="177"/>
      <c r="J178" s="1" t="b">
        <f>EXACT(G178,'Vh5205_C-81'!G178)</f>
        <v>0</v>
      </c>
    </row>
    <row r="179" spans="1:10" s="7" customFormat="1" ht="17.5" x14ac:dyDescent="0.35">
      <c r="A179" s="90">
        <v>174</v>
      </c>
      <c r="B179" s="10" t="s">
        <v>710</v>
      </c>
      <c r="C179" s="10" t="s">
        <v>29</v>
      </c>
      <c r="D179" s="10" t="s">
        <v>440</v>
      </c>
      <c r="E179" s="146" t="s">
        <v>2</v>
      </c>
      <c r="F179" s="19" t="s">
        <v>26</v>
      </c>
      <c r="G179" s="210">
        <v>24.1</v>
      </c>
      <c r="H179" s="177"/>
      <c r="J179" s="1" t="b">
        <f>EXACT(G179,'Vh5205_C-81'!G179)</f>
        <v>0</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EXACT(G180,'Vh5205_C-81'!G180)</f>
        <v>1</v>
      </c>
    </row>
    <row r="181" spans="1:10" s="7" customFormat="1" ht="17.5" x14ac:dyDescent="0.35">
      <c r="A181" s="90">
        <v>176</v>
      </c>
      <c r="B181" s="10" t="s">
        <v>710</v>
      </c>
      <c r="C181" s="10" t="s">
        <v>30</v>
      </c>
      <c r="D181" s="10" t="s">
        <v>443</v>
      </c>
      <c r="E181" s="146" t="s">
        <v>2</v>
      </c>
      <c r="F181" s="19" t="s">
        <v>26</v>
      </c>
      <c r="G181" s="211">
        <v>22.8</v>
      </c>
      <c r="H181" s="177"/>
      <c r="J181" s="1" t="b">
        <f>EXACT(G181,'Vh5205_C-81'!G181)</f>
        <v>0</v>
      </c>
    </row>
    <row r="182" spans="1:10" s="7" customFormat="1" x14ac:dyDescent="0.35">
      <c r="A182" s="90">
        <v>177</v>
      </c>
      <c r="B182" s="146" t="s">
        <v>710</v>
      </c>
      <c r="C182" s="146" t="s">
        <v>444</v>
      </c>
      <c r="D182" s="10" t="s">
        <v>445</v>
      </c>
      <c r="E182" s="146" t="s">
        <v>2</v>
      </c>
      <c r="F182" s="19" t="s">
        <v>26</v>
      </c>
      <c r="G182" s="211">
        <v>4</v>
      </c>
      <c r="H182" s="177"/>
      <c r="J182" s="1" t="b">
        <f>EXACT(G182,'Vh5205_C-81'!G182)</f>
        <v>1</v>
      </c>
    </row>
    <row r="183" spans="1:10" s="7" customFormat="1" ht="17.5" x14ac:dyDescent="0.35">
      <c r="A183" s="90">
        <v>178</v>
      </c>
      <c r="B183" s="146" t="s">
        <v>710</v>
      </c>
      <c r="C183" s="146" t="s">
        <v>446</v>
      </c>
      <c r="D183" s="10" t="s">
        <v>447</v>
      </c>
      <c r="E183" s="146" t="s">
        <v>2</v>
      </c>
      <c r="F183" s="19" t="s">
        <v>26</v>
      </c>
      <c r="G183" s="203">
        <v>4.53</v>
      </c>
      <c r="H183" s="177"/>
      <c r="J183" s="1" t="b">
        <f>EXACT(G183,'Vh5205_C-81'!G183)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EXACT(G184,'Vh5205_C-81'!G184)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EXACT(G185,'Vh5205_C-81'!G185)</f>
        <v>1</v>
      </c>
    </row>
    <row r="186" spans="1:10" s="7" customFormat="1" x14ac:dyDescent="0.35">
      <c r="A186" s="90">
        <v>181</v>
      </c>
      <c r="B186" s="146" t="s">
        <v>710</v>
      </c>
      <c r="C186" s="146" t="s">
        <v>452</v>
      </c>
      <c r="D186" s="10" t="s">
        <v>453</v>
      </c>
      <c r="E186" s="146" t="s">
        <v>2</v>
      </c>
      <c r="F186" s="19" t="s">
        <v>26</v>
      </c>
      <c r="G186" s="211">
        <v>3.8</v>
      </c>
      <c r="H186" s="177"/>
      <c r="J186" s="1" t="b">
        <f>EXACT(G186,'Vh5205_C-81'!G186)</f>
        <v>1</v>
      </c>
    </row>
    <row r="187" spans="1:10" s="7" customFormat="1" ht="17.5" x14ac:dyDescent="0.35">
      <c r="A187" s="90">
        <v>182</v>
      </c>
      <c r="B187" s="87" t="s">
        <v>710</v>
      </c>
      <c r="C187" s="87" t="s">
        <v>454</v>
      </c>
      <c r="D187" s="13" t="s">
        <v>455</v>
      </c>
      <c r="E187" s="87" t="s">
        <v>2</v>
      </c>
      <c r="F187" s="22" t="s">
        <v>26</v>
      </c>
      <c r="G187" s="212">
        <v>4.29</v>
      </c>
      <c r="H187" s="180"/>
      <c r="J187" s="1" t="b">
        <f>EXACT(G187,'Vh5205_C-81'!G187)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EXACT(G188,'Vh5205_C-81'!G188)</f>
        <v>1</v>
      </c>
    </row>
    <row r="189" spans="1:10" s="7" customFormat="1" x14ac:dyDescent="0.35">
      <c r="A189" s="90">
        <v>184</v>
      </c>
      <c r="B189" s="10" t="s">
        <v>711</v>
      </c>
      <c r="C189" s="10" t="s">
        <v>47</v>
      </c>
      <c r="D189" s="106" t="s">
        <v>597</v>
      </c>
      <c r="E189" s="146" t="s">
        <v>2</v>
      </c>
      <c r="F189" s="19" t="s">
        <v>79</v>
      </c>
      <c r="G189" s="161"/>
      <c r="H189" s="177"/>
      <c r="J189" s="1" t="b">
        <f>EXACT(G189,'Vh5205_C-81'!G189)</f>
        <v>1</v>
      </c>
    </row>
    <row r="190" spans="1:10" s="7" customFormat="1" ht="17.5" x14ac:dyDescent="0.35">
      <c r="A190" s="90">
        <v>185</v>
      </c>
      <c r="B190" s="10" t="s">
        <v>711</v>
      </c>
      <c r="C190" s="10" t="s">
        <v>175</v>
      </c>
      <c r="D190" s="106" t="s">
        <v>598</v>
      </c>
      <c r="E190" s="146" t="s">
        <v>2</v>
      </c>
      <c r="F190" s="19" t="s">
        <v>79</v>
      </c>
      <c r="G190" s="161"/>
      <c r="H190" s="177"/>
      <c r="J190" s="1" t="b">
        <f>EXACT(G190,'Vh5205_C-81'!G190)</f>
        <v>1</v>
      </c>
    </row>
    <row r="191" spans="1:10" s="7" customFormat="1" x14ac:dyDescent="0.35">
      <c r="A191" s="90">
        <v>186</v>
      </c>
      <c r="B191" s="146" t="s">
        <v>711</v>
      </c>
      <c r="C191" s="146" t="s">
        <v>12</v>
      </c>
      <c r="D191" s="146"/>
      <c r="E191" s="146" t="s">
        <v>5</v>
      </c>
      <c r="F191" s="19" t="s">
        <v>26</v>
      </c>
      <c r="G191" s="161">
        <v>2.06</v>
      </c>
      <c r="H191" s="177"/>
      <c r="J191" s="1" t="b">
        <f>EXACT(G191,'Vh5205_C-81'!G191)</f>
        <v>0</v>
      </c>
    </row>
    <row r="192" spans="1:10" s="7" customFormat="1" x14ac:dyDescent="0.35">
      <c r="A192" s="90">
        <v>187</v>
      </c>
      <c r="B192" s="146" t="s">
        <v>711</v>
      </c>
      <c r="C192" s="146" t="s">
        <v>53</v>
      </c>
      <c r="D192" s="146"/>
      <c r="E192" s="146" t="s">
        <v>5</v>
      </c>
      <c r="F192" s="19" t="s">
        <v>26</v>
      </c>
      <c r="G192" s="161">
        <v>2.12</v>
      </c>
      <c r="H192" s="177"/>
      <c r="J192" s="1" t="b">
        <f>EXACT(G192,'Vh5205_C-81'!G192)</f>
        <v>0</v>
      </c>
    </row>
    <row r="193" spans="1:10" s="7" customFormat="1" x14ac:dyDescent="0.35">
      <c r="A193" s="90">
        <v>188</v>
      </c>
      <c r="B193" s="146" t="s">
        <v>711</v>
      </c>
      <c r="C193" s="146" t="s">
        <v>8</v>
      </c>
      <c r="D193" s="146" t="s">
        <v>36</v>
      </c>
      <c r="E193" s="146" t="s">
        <v>5</v>
      </c>
      <c r="F193" s="22" t="s">
        <v>26</v>
      </c>
      <c r="G193" s="213">
        <v>492</v>
      </c>
      <c r="H193" s="180"/>
      <c r="J193" s="1" t="b">
        <f>EXACT(G193,'Vh5205_C-81'!G193)</f>
        <v>0</v>
      </c>
    </row>
    <row r="194" spans="1:10" s="7" customFormat="1" ht="17.5" x14ac:dyDescent="0.35">
      <c r="A194" s="90">
        <v>189</v>
      </c>
      <c r="B194" s="100" t="s">
        <v>712</v>
      </c>
      <c r="C194" s="100" t="s">
        <v>118</v>
      </c>
      <c r="D194" s="100" t="s">
        <v>599</v>
      </c>
      <c r="E194" s="100" t="s">
        <v>5</v>
      </c>
      <c r="F194" s="19" t="s">
        <v>26</v>
      </c>
      <c r="G194" s="214">
        <v>492</v>
      </c>
      <c r="H194" s="177"/>
      <c r="J194" s="1" t="b">
        <f>EXACT(G194,'Vh5205_C-81'!G194)</f>
        <v>0</v>
      </c>
    </row>
    <row r="195" spans="1:10" s="7" customFormat="1" x14ac:dyDescent="0.35">
      <c r="A195" s="90">
        <v>190</v>
      </c>
      <c r="B195" s="10" t="s">
        <v>712</v>
      </c>
      <c r="C195" s="10" t="s">
        <v>176</v>
      </c>
      <c r="D195" s="146"/>
      <c r="E195" s="146"/>
      <c r="F195" s="19" t="s">
        <v>26</v>
      </c>
      <c r="G195" s="161" t="s">
        <v>533</v>
      </c>
      <c r="H195" s="177"/>
      <c r="J195" s="1" t="b">
        <f>EXACT(G195,'Vh5205_C-81'!G195)</f>
        <v>1</v>
      </c>
    </row>
    <row r="196" spans="1:10" s="7" customFormat="1" x14ac:dyDescent="0.35">
      <c r="A196" s="90">
        <v>191</v>
      </c>
      <c r="B196" s="13" t="s">
        <v>712</v>
      </c>
      <c r="C196" s="13" t="s">
        <v>38</v>
      </c>
      <c r="D196" s="87" t="s">
        <v>49</v>
      </c>
      <c r="E196" s="87" t="s">
        <v>2</v>
      </c>
      <c r="F196" s="22" t="s">
        <v>79</v>
      </c>
      <c r="G196" s="215">
        <v>30.5</v>
      </c>
      <c r="H196" s="180"/>
      <c r="J196" s="1" t="b">
        <f>EXACT(G196,'Vh5205_C-81'!G196)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EXACT(G197,'Vh5205_C-81'!G197)</f>
        <v>1</v>
      </c>
    </row>
    <row r="198" spans="1:10" s="7" customFormat="1" x14ac:dyDescent="0.35">
      <c r="A198" s="90">
        <v>193</v>
      </c>
      <c r="B198" s="10" t="s">
        <v>711</v>
      </c>
      <c r="C198" s="10" t="s">
        <v>193</v>
      </c>
      <c r="D198" s="5"/>
      <c r="E198" s="10" t="s">
        <v>0</v>
      </c>
      <c r="F198" s="19" t="s">
        <v>26</v>
      </c>
      <c r="G198" s="192" t="s">
        <v>659</v>
      </c>
      <c r="H198" s="177" t="s">
        <v>652</v>
      </c>
      <c r="J198" s="176" t="b">
        <f>EXACT(G198,'Vh5205_C-81'!G198)</f>
        <v>1</v>
      </c>
    </row>
    <row r="199" spans="1:10" s="7" customFormat="1" x14ac:dyDescent="0.35">
      <c r="A199" s="90">
        <v>194</v>
      </c>
      <c r="B199" s="146" t="s">
        <v>711</v>
      </c>
      <c r="C199" s="146" t="s">
        <v>13</v>
      </c>
      <c r="D199" s="146"/>
      <c r="E199" s="146" t="s">
        <v>6</v>
      </c>
      <c r="F199" s="19" t="s">
        <v>79</v>
      </c>
      <c r="G199" s="161"/>
      <c r="H199" s="177"/>
      <c r="J199" s="1" t="b">
        <f>EXACT(G199,'Vh5205_C-81'!G199)</f>
        <v>1</v>
      </c>
    </row>
    <row r="200" spans="1:10" s="7" customFormat="1" x14ac:dyDescent="0.35">
      <c r="A200" s="90">
        <v>195</v>
      </c>
      <c r="B200" s="146" t="s">
        <v>711</v>
      </c>
      <c r="C200" s="146" t="s">
        <v>14</v>
      </c>
      <c r="D200" s="146"/>
      <c r="E200" s="146" t="s">
        <v>6</v>
      </c>
      <c r="F200" s="19" t="s">
        <v>79</v>
      </c>
      <c r="G200" s="161"/>
      <c r="H200" s="177"/>
      <c r="J200" s="1" t="b">
        <f>EXACT(G200,'Vh5205_C-81'!G200)</f>
        <v>1</v>
      </c>
    </row>
    <row r="201" spans="1:10" s="7" customFormat="1" x14ac:dyDescent="0.35">
      <c r="A201" s="90">
        <v>196</v>
      </c>
      <c r="B201" s="146" t="s">
        <v>711</v>
      </c>
      <c r="C201" s="146" t="s">
        <v>19</v>
      </c>
      <c r="D201" s="146"/>
      <c r="E201" s="146" t="s">
        <v>113</v>
      </c>
      <c r="F201" s="19" t="s">
        <v>79</v>
      </c>
      <c r="G201" s="161"/>
      <c r="H201" s="177"/>
      <c r="J201" s="1" t="b">
        <f>EXACT(G201,'Vh5205_C-81'!G201)</f>
        <v>1</v>
      </c>
    </row>
    <row r="202" spans="1:10" s="7" customFormat="1" x14ac:dyDescent="0.35">
      <c r="A202" s="90">
        <v>197</v>
      </c>
      <c r="B202" s="146" t="s">
        <v>711</v>
      </c>
      <c r="C202" s="146" t="s">
        <v>20</v>
      </c>
      <c r="D202" s="146"/>
      <c r="E202" s="146" t="s">
        <v>113</v>
      </c>
      <c r="F202" s="19" t="s">
        <v>79</v>
      </c>
      <c r="G202" s="161"/>
      <c r="H202" s="177"/>
      <c r="J202" s="1" t="b">
        <f>EXACT(G202,'Vh5205_C-81'!G202)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EXACT(G203,'Vh5205_C-81'!G203)</f>
        <v>1</v>
      </c>
    </row>
    <row r="204" spans="1:10" s="7" customFormat="1" ht="17.5" x14ac:dyDescent="0.35">
      <c r="A204" s="90">
        <v>199</v>
      </c>
      <c r="B204" s="10" t="s">
        <v>713</v>
      </c>
      <c r="C204" s="10" t="s">
        <v>180</v>
      </c>
      <c r="D204" s="102" t="s">
        <v>181</v>
      </c>
      <c r="E204" s="100" t="s">
        <v>1</v>
      </c>
      <c r="F204" s="23" t="s">
        <v>26</v>
      </c>
      <c r="G204" s="161" t="s">
        <v>524</v>
      </c>
      <c r="H204" s="177"/>
      <c r="J204" s="1" t="b">
        <f>EXACT(G204,'Vh5205_C-81'!G204)</f>
        <v>1</v>
      </c>
    </row>
    <row r="205" spans="1:10" s="7" customFormat="1" x14ac:dyDescent="0.35">
      <c r="A205" s="90">
        <v>200</v>
      </c>
      <c r="B205" s="146" t="s">
        <v>713</v>
      </c>
      <c r="C205" s="146" t="s">
        <v>37</v>
      </c>
      <c r="D205" s="146" t="s">
        <v>50</v>
      </c>
      <c r="E205" s="146" t="s">
        <v>1</v>
      </c>
      <c r="F205" s="23" t="s">
        <v>26</v>
      </c>
      <c r="G205" s="216">
        <v>27</v>
      </c>
      <c r="H205" s="177"/>
      <c r="J205" s="1" t="b">
        <f>EXACT(G205,'Vh5205_C-81'!G205)</f>
        <v>1</v>
      </c>
    </row>
    <row r="206" spans="1:10" s="7" customFormat="1" ht="17.5" x14ac:dyDescent="0.35">
      <c r="A206" s="90">
        <v>201</v>
      </c>
      <c r="B206" s="87" t="s">
        <v>713</v>
      </c>
      <c r="C206" s="87" t="s">
        <v>610</v>
      </c>
      <c r="D206" s="13" t="s">
        <v>182</v>
      </c>
      <c r="E206" s="103" t="s">
        <v>1</v>
      </c>
      <c r="F206" s="24" t="s">
        <v>26</v>
      </c>
      <c r="G206" s="217">
        <v>57</v>
      </c>
      <c r="H206" s="180"/>
      <c r="J206" s="1" t="b">
        <f>EXACT(G206,'Vh5205_C-81'!G206)</f>
        <v>1</v>
      </c>
    </row>
    <row r="207" spans="1:10" s="7" customFormat="1" x14ac:dyDescent="0.35">
      <c r="A207" s="90">
        <v>202</v>
      </c>
      <c r="B207" s="5" t="s">
        <v>714</v>
      </c>
      <c r="C207" s="5" t="s">
        <v>392</v>
      </c>
      <c r="D207" s="146"/>
      <c r="E207" s="146"/>
      <c r="F207" s="23" t="s">
        <v>26</v>
      </c>
      <c r="G207" s="161" t="s">
        <v>524</v>
      </c>
      <c r="H207" s="177" t="s">
        <v>652</v>
      </c>
      <c r="J207" s="176" t="b">
        <f>EXACT(G207,'Vh5205_C-81'!G207)</f>
        <v>1</v>
      </c>
    </row>
    <row r="208" spans="1:10" s="7" customFormat="1" x14ac:dyDescent="0.35">
      <c r="A208" s="90">
        <v>203</v>
      </c>
      <c r="B208" s="146" t="s">
        <v>714</v>
      </c>
      <c r="C208" s="146" t="s">
        <v>25</v>
      </c>
      <c r="D208" s="146" t="s">
        <v>601</v>
      </c>
      <c r="E208" s="146" t="s">
        <v>1</v>
      </c>
      <c r="F208" s="19" t="s">
        <v>26</v>
      </c>
      <c r="G208" s="218">
        <v>27.8</v>
      </c>
      <c r="H208" s="177"/>
      <c r="J208" s="1" t="b">
        <f>EXACT(G208,'Vh5205_C-81'!G208)</f>
        <v>0</v>
      </c>
    </row>
    <row r="209" spans="1:10" s="7" customFormat="1" x14ac:dyDescent="0.35">
      <c r="A209" s="90">
        <v>204</v>
      </c>
      <c r="B209" s="146" t="s">
        <v>714</v>
      </c>
      <c r="C209" s="146" t="s">
        <v>33</v>
      </c>
      <c r="D209" s="146" t="s">
        <v>602</v>
      </c>
      <c r="E209" s="146" t="s">
        <v>1</v>
      </c>
      <c r="F209" s="19" t="s">
        <v>26</v>
      </c>
      <c r="G209" s="219">
        <v>0.20899999999999999</v>
      </c>
      <c r="H209" s="177"/>
      <c r="J209" s="1" t="b">
        <f>EXACT(G209,'Vh5205_C-81'!G209)</f>
        <v>0</v>
      </c>
    </row>
    <row r="210" spans="1:10" s="7" customFormat="1" ht="17.5" x14ac:dyDescent="0.35">
      <c r="A210" s="90">
        <v>205</v>
      </c>
      <c r="B210" s="146" t="s">
        <v>714</v>
      </c>
      <c r="C210" s="146" t="s">
        <v>27</v>
      </c>
      <c r="D210" s="146" t="s">
        <v>603</v>
      </c>
      <c r="E210" s="146" t="s">
        <v>1</v>
      </c>
      <c r="F210" s="19" t="s">
        <v>26</v>
      </c>
      <c r="G210" s="219">
        <v>0.20899999999999999</v>
      </c>
      <c r="H210" s="177"/>
      <c r="J210" s="1" t="b">
        <f>EXACT(G210,'Vh5205_C-81'!G210)</f>
        <v>0</v>
      </c>
    </row>
    <row r="211" spans="1:10" s="7" customFormat="1" x14ac:dyDescent="0.35">
      <c r="A211" s="90">
        <v>206</v>
      </c>
      <c r="B211" s="146" t="s">
        <v>714</v>
      </c>
      <c r="C211" s="146" t="s">
        <v>34</v>
      </c>
      <c r="D211" s="146" t="s">
        <v>604</v>
      </c>
      <c r="E211" s="146" t="s">
        <v>1</v>
      </c>
      <c r="F211" s="19" t="s">
        <v>26</v>
      </c>
      <c r="G211" s="216">
        <v>0</v>
      </c>
      <c r="H211" s="177"/>
      <c r="J211" s="1" t="b">
        <f>EXACT(G211,'Vh5205_C-81'!G211)</f>
        <v>1</v>
      </c>
    </row>
    <row r="212" spans="1:10" s="7" customFormat="1" x14ac:dyDescent="0.35">
      <c r="A212" s="90">
        <v>207</v>
      </c>
      <c r="B212" s="146" t="s">
        <v>714</v>
      </c>
      <c r="C212" s="146" t="s">
        <v>24</v>
      </c>
      <c r="D212" s="146" t="s">
        <v>605</v>
      </c>
      <c r="E212" s="146" t="s">
        <v>1</v>
      </c>
      <c r="F212" s="19" t="s">
        <v>26</v>
      </c>
      <c r="G212" s="219">
        <v>27.6</v>
      </c>
      <c r="H212" s="177"/>
      <c r="J212" s="1" t="b">
        <f>EXACT(G212,'Vh5205_C-81'!G212)</f>
        <v>0</v>
      </c>
    </row>
    <row r="213" spans="1:10" s="7" customFormat="1" ht="17.5" x14ac:dyDescent="0.35">
      <c r="A213" s="123">
        <v>208</v>
      </c>
      <c r="B213" s="87" t="s">
        <v>714</v>
      </c>
      <c r="C213" s="87" t="s">
        <v>23</v>
      </c>
      <c r="D213" s="87" t="s">
        <v>606</v>
      </c>
      <c r="E213" s="87" t="s">
        <v>1</v>
      </c>
      <c r="F213" s="22" t="s">
        <v>26</v>
      </c>
      <c r="G213" s="220">
        <v>27.6</v>
      </c>
      <c r="H213" s="180"/>
      <c r="J213" s="1" t="b">
        <f>EXACT(G213,'Vh5205_C-81'!G213)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782" priority="444" operator="equal">
      <formula>"Mandatory"</formula>
    </cfRule>
  </conditionalFormatting>
  <conditionalFormatting sqref="F4:F213">
    <cfRule type="cellIs" dxfId="781" priority="442" operator="equal">
      <formula>"Recommended"</formula>
    </cfRule>
    <cfRule type="cellIs" dxfId="780" priority="443" operator="equal">
      <formula>"Optional"</formula>
    </cfRule>
  </conditionalFormatting>
  <conditionalFormatting sqref="F4:F213">
    <cfRule type="cellIs" dxfId="779" priority="441" operator="equal">
      <formula>"Undecided"</formula>
    </cfRule>
  </conditionalFormatting>
  <conditionalFormatting sqref="G227:G232">
    <cfRule type="cellIs" dxfId="778" priority="275" operator="notEqual">
      <formula>0</formula>
    </cfRule>
  </conditionalFormatting>
  <conditionalFormatting sqref="J4:J213">
    <cfRule type="cellIs" dxfId="777" priority="90" operator="equal">
      <formula>FALSE</formula>
    </cfRule>
    <cfRule type="cellIs" dxfId="776" priority="91" operator="equal">
      <formula>"""FALSE"""</formula>
    </cfRule>
    <cfRule type="cellIs" dxfId="775" priority="92" operator="equal">
      <formula>"""FALSE"""</formula>
    </cfRule>
  </conditionalFormatting>
  <conditionalFormatting sqref="H124:H130">
    <cfRule type="cellIs" dxfId="774" priority="89" operator="equal">
      <formula>"Mandatory"</formula>
    </cfRule>
  </conditionalFormatting>
  <conditionalFormatting sqref="H124:H130">
    <cfRule type="cellIs" dxfId="773" priority="87" operator="equal">
      <formula>"Recommended"</formula>
    </cfRule>
    <cfRule type="cellIs" dxfId="772" priority="88" operator="equal">
      <formula>"Optional"</formula>
    </cfRule>
  </conditionalFormatting>
  <conditionalFormatting sqref="H124:H130">
    <cfRule type="cellIs" dxfId="771" priority="86" operator="equal">
      <formula>"Undecided"</formula>
    </cfRule>
  </conditionalFormatting>
  <conditionalFormatting sqref="G15 G177 G180 G184:G185 G188 G197:G198 G20 G44 G34:G38 G51:G53 G68 G57:G60 G83:G85 G141 G203 G212:G213 G40">
    <cfRule type="cellIs" dxfId="770" priority="85" operator="equal">
      <formula>"Mandatory"</formula>
    </cfRule>
  </conditionalFormatting>
  <conditionalFormatting sqref="G15 G177 G180 G184:G185 G188 G197:G198 G20 G44 G34:G38 G51:G53 G68 G57:G60 G83:G85 G141 G203 G212:G213 G40">
    <cfRule type="cellIs" dxfId="769" priority="83" operator="equal">
      <formula>"Not Mandatory"</formula>
    </cfRule>
    <cfRule type="cellIs" dxfId="768" priority="84" operator="equal">
      <formula>"Recommended"</formula>
    </cfRule>
  </conditionalFormatting>
  <conditionalFormatting sqref="G44 G37:G38 G52:G53 G57:G60 G85 G40">
    <cfRule type="cellIs" dxfId="767" priority="81" operator="equal">
      <formula>"Not Mandatory"</formula>
    </cfRule>
    <cfRule type="cellIs" dxfId="766" priority="82" operator="equal">
      <formula>"Recommended"</formula>
    </cfRule>
  </conditionalFormatting>
  <conditionalFormatting sqref="G44 G37:G38 G52:G53 G57:G60 G85 G40">
    <cfRule type="cellIs" dxfId="765" priority="79" operator="equal">
      <formula>"Not Mandatory"</formula>
    </cfRule>
    <cfRule type="cellIs" dxfId="764" priority="80" operator="equal">
      <formula>"Recommended"</formula>
    </cfRule>
  </conditionalFormatting>
  <conditionalFormatting sqref="G48:G49">
    <cfRule type="cellIs" dxfId="763" priority="78" operator="equal">
      <formula>"Mandatory"</formula>
    </cfRule>
  </conditionalFormatting>
  <conditionalFormatting sqref="G48:G49">
    <cfRule type="cellIs" dxfId="762" priority="76" operator="equal">
      <formula>"Not Mandatory"</formula>
    </cfRule>
    <cfRule type="cellIs" dxfId="761" priority="77" operator="equal">
      <formula>"Recommended"</formula>
    </cfRule>
  </conditionalFormatting>
  <conditionalFormatting sqref="G48:G49">
    <cfRule type="cellIs" dxfId="760" priority="74" operator="equal">
      <formula>"Not Mandatory"</formula>
    </cfRule>
    <cfRule type="cellIs" dxfId="759" priority="75" operator="equal">
      <formula>"Recommended"</formula>
    </cfRule>
  </conditionalFormatting>
  <conditionalFormatting sqref="G48:G49">
    <cfRule type="cellIs" dxfId="758" priority="72" operator="equal">
      <formula>"Not Mandatory"</formula>
    </cfRule>
    <cfRule type="cellIs" dxfId="757" priority="73" operator="equal">
      <formula>"Recommended"</formula>
    </cfRule>
  </conditionalFormatting>
  <conditionalFormatting sqref="G69">
    <cfRule type="cellIs" dxfId="756" priority="71" operator="equal">
      <formula>"Mandatory"</formula>
    </cfRule>
  </conditionalFormatting>
  <conditionalFormatting sqref="G69">
    <cfRule type="cellIs" dxfId="755" priority="69" operator="equal">
      <formula>"Not Mandatory"</formula>
    </cfRule>
    <cfRule type="cellIs" dxfId="754" priority="70" operator="equal">
      <formula>"Recommended"</formula>
    </cfRule>
  </conditionalFormatting>
  <conditionalFormatting sqref="G86">
    <cfRule type="cellIs" dxfId="753" priority="68" operator="equal">
      <formula>"Mandatory"</formula>
    </cfRule>
  </conditionalFormatting>
  <conditionalFormatting sqref="G86">
    <cfRule type="cellIs" dxfId="752" priority="66" operator="equal">
      <formula>"Not Mandatory"</formula>
    </cfRule>
    <cfRule type="cellIs" dxfId="751" priority="67" operator="equal">
      <formula>"Recommended"</formula>
    </cfRule>
  </conditionalFormatting>
  <conditionalFormatting sqref="G86">
    <cfRule type="cellIs" dxfId="750" priority="64" operator="equal">
      <formula>"Not Mandatory"</formula>
    </cfRule>
    <cfRule type="cellIs" dxfId="749" priority="65" operator="equal">
      <formula>"Recommended"</formula>
    </cfRule>
  </conditionalFormatting>
  <conditionalFormatting sqref="G86">
    <cfRule type="cellIs" dxfId="748" priority="62" operator="equal">
      <formula>"Not Mandatory"</formula>
    </cfRule>
    <cfRule type="cellIs" dxfId="747" priority="63" operator="equal">
      <formula>"Recommended"</formula>
    </cfRule>
  </conditionalFormatting>
  <conditionalFormatting sqref="G9:G13">
    <cfRule type="cellIs" dxfId="746" priority="61" operator="equal">
      <formula>"Mandatory"</formula>
    </cfRule>
  </conditionalFormatting>
  <conditionalFormatting sqref="G9:G13">
    <cfRule type="cellIs" dxfId="745" priority="59" operator="equal">
      <formula>"Not Mandatory"</formula>
    </cfRule>
    <cfRule type="cellIs" dxfId="744" priority="60" operator="equal">
      <formula>"Recommended"</formula>
    </cfRule>
  </conditionalFormatting>
  <conditionalFormatting sqref="G31:G33">
    <cfRule type="cellIs" dxfId="743" priority="58" operator="equal">
      <formula>"Mandatory"</formula>
    </cfRule>
  </conditionalFormatting>
  <conditionalFormatting sqref="G31:G33">
    <cfRule type="cellIs" dxfId="742" priority="56" operator="equal">
      <formula>"Not Mandatory"</formula>
    </cfRule>
    <cfRule type="cellIs" dxfId="741" priority="57" operator="equal">
      <formula>"Recommended"</formula>
    </cfRule>
  </conditionalFormatting>
  <conditionalFormatting sqref="G31:G33">
    <cfRule type="cellIs" dxfId="740" priority="54" operator="equal">
      <formula>"Not Mandatory"</formula>
    </cfRule>
    <cfRule type="cellIs" dxfId="739" priority="55" operator="equal">
      <formula>"Recommended"</formula>
    </cfRule>
  </conditionalFormatting>
  <conditionalFormatting sqref="G31:G33">
    <cfRule type="cellIs" dxfId="738" priority="52" operator="equal">
      <formula>"Not Mandatory"</formula>
    </cfRule>
    <cfRule type="cellIs" dxfId="737" priority="53" operator="equal">
      <formula>"Recommended"</formula>
    </cfRule>
  </conditionalFormatting>
  <conditionalFormatting sqref="G41">
    <cfRule type="cellIs" dxfId="736" priority="51" operator="equal">
      <formula>"Mandatory"</formula>
    </cfRule>
  </conditionalFormatting>
  <conditionalFormatting sqref="G41">
    <cfRule type="cellIs" dxfId="735" priority="49" operator="equal">
      <formula>"Not Mandatory"</formula>
    </cfRule>
    <cfRule type="cellIs" dxfId="734" priority="50" operator="equal">
      <formula>"Recommended"</formula>
    </cfRule>
  </conditionalFormatting>
  <conditionalFormatting sqref="G41">
    <cfRule type="cellIs" dxfId="733" priority="47" operator="equal">
      <formula>"Not Mandatory"</formula>
    </cfRule>
    <cfRule type="cellIs" dxfId="732" priority="48" operator="equal">
      <formula>"Recommended"</formula>
    </cfRule>
  </conditionalFormatting>
  <conditionalFormatting sqref="G41">
    <cfRule type="cellIs" dxfId="731" priority="45" operator="equal">
      <formula>"Not Mandatory"</formula>
    </cfRule>
    <cfRule type="cellIs" dxfId="730" priority="46" operator="equal">
      <formula>"Recommended"</formula>
    </cfRule>
  </conditionalFormatting>
  <conditionalFormatting sqref="G90">
    <cfRule type="cellIs" dxfId="729" priority="44" operator="equal">
      <formula>"Mandatory"</formula>
    </cfRule>
  </conditionalFormatting>
  <conditionalFormatting sqref="G90">
    <cfRule type="cellIs" dxfId="728" priority="42" operator="equal">
      <formula>"Not Mandatory"</formula>
    </cfRule>
    <cfRule type="cellIs" dxfId="727" priority="43" operator="equal">
      <formula>"Recommended"</formula>
    </cfRule>
  </conditionalFormatting>
  <conditionalFormatting sqref="G122">
    <cfRule type="cellIs" dxfId="726" priority="41" operator="equal">
      <formula>"Mandatory"</formula>
    </cfRule>
  </conditionalFormatting>
  <conditionalFormatting sqref="G122">
    <cfRule type="cellIs" dxfId="725" priority="39" operator="equal">
      <formula>"Not Mandatory"</formula>
    </cfRule>
    <cfRule type="cellIs" dxfId="724" priority="40" operator="equal">
      <formula>"Recommended"</formula>
    </cfRule>
  </conditionalFormatting>
  <conditionalFormatting sqref="G119">
    <cfRule type="cellIs" dxfId="723" priority="38" operator="equal">
      <formula>"Mandatory"</formula>
    </cfRule>
  </conditionalFormatting>
  <conditionalFormatting sqref="G119">
    <cfRule type="cellIs" dxfId="722" priority="36" operator="equal">
      <formula>"Not Mandatory"</formula>
    </cfRule>
    <cfRule type="cellIs" dxfId="721" priority="37" operator="equal">
      <formula>"Recommended"</formula>
    </cfRule>
  </conditionalFormatting>
  <conditionalFormatting sqref="G109">
    <cfRule type="cellIs" dxfId="720" priority="35" operator="equal">
      <formula>"Mandatory"</formula>
    </cfRule>
  </conditionalFormatting>
  <conditionalFormatting sqref="G109">
    <cfRule type="cellIs" dxfId="719" priority="33" operator="equal">
      <formula>"Not Mandatory"</formula>
    </cfRule>
    <cfRule type="cellIs" dxfId="718" priority="34" operator="equal">
      <formula>"Recommended"</formula>
    </cfRule>
  </conditionalFormatting>
  <conditionalFormatting sqref="G130">
    <cfRule type="cellIs" dxfId="717" priority="32" operator="equal">
      <formula>"Mandatory"</formula>
    </cfRule>
  </conditionalFormatting>
  <conditionalFormatting sqref="G130">
    <cfRule type="cellIs" dxfId="716" priority="30" operator="equal">
      <formula>"Not Mandatory"</formula>
    </cfRule>
    <cfRule type="cellIs" dxfId="715" priority="31" operator="equal">
      <formula>"Recommended"</formula>
    </cfRule>
  </conditionalFormatting>
  <conditionalFormatting sqref="G125">
    <cfRule type="cellIs" dxfId="714" priority="29" operator="equal">
      <formula>"Mandatory"</formula>
    </cfRule>
  </conditionalFormatting>
  <conditionalFormatting sqref="G125">
    <cfRule type="cellIs" dxfId="713" priority="27" operator="equal">
      <formula>"Not Mandatory"</formula>
    </cfRule>
    <cfRule type="cellIs" dxfId="712" priority="28" operator="equal">
      <formula>"Recommended"</formula>
    </cfRule>
  </conditionalFormatting>
  <conditionalFormatting sqref="G127:G129">
    <cfRule type="cellIs" dxfId="711" priority="26" operator="equal">
      <formula>"Mandatory"</formula>
    </cfRule>
  </conditionalFormatting>
  <conditionalFormatting sqref="G127:G129">
    <cfRule type="cellIs" dxfId="710" priority="24" operator="equal">
      <formula>"Not Mandatory"</formula>
    </cfRule>
    <cfRule type="cellIs" dxfId="709" priority="25" operator="equal">
      <formula>"Recommended"</formula>
    </cfRule>
  </conditionalFormatting>
  <conditionalFormatting sqref="G135:G136">
    <cfRule type="cellIs" dxfId="708" priority="23" operator="equal">
      <formula>"Mandatory"</formula>
    </cfRule>
  </conditionalFormatting>
  <conditionalFormatting sqref="G135:G136">
    <cfRule type="cellIs" dxfId="707" priority="21" operator="equal">
      <formula>"Not Mandatory"</formula>
    </cfRule>
    <cfRule type="cellIs" dxfId="706" priority="22" operator="equal">
      <formula>"Recommended"</formula>
    </cfRule>
  </conditionalFormatting>
  <conditionalFormatting sqref="G154">
    <cfRule type="cellIs" dxfId="705" priority="20" operator="equal">
      <formula>"Mandatory"</formula>
    </cfRule>
  </conditionalFormatting>
  <conditionalFormatting sqref="G154">
    <cfRule type="cellIs" dxfId="704" priority="18" operator="equal">
      <formula>"Not Mandatory"</formula>
    </cfRule>
    <cfRule type="cellIs" dxfId="703" priority="19" operator="equal">
      <formula>"Recommended"</formula>
    </cfRule>
  </conditionalFormatting>
  <conditionalFormatting sqref="G162">
    <cfRule type="cellIs" dxfId="702" priority="17" operator="equal">
      <formula>"Mandatory"</formula>
    </cfRule>
  </conditionalFormatting>
  <conditionalFormatting sqref="G162">
    <cfRule type="cellIs" dxfId="701" priority="15" operator="equal">
      <formula>"Not Mandatory"</formula>
    </cfRule>
    <cfRule type="cellIs" dxfId="700" priority="16" operator="equal">
      <formula>"Recommended"</formula>
    </cfRule>
  </conditionalFormatting>
  <conditionalFormatting sqref="G66">
    <cfRule type="cellIs" dxfId="699" priority="14" operator="equal">
      <formula>"Mandatory"</formula>
    </cfRule>
  </conditionalFormatting>
  <conditionalFormatting sqref="G66">
    <cfRule type="cellIs" dxfId="698" priority="12" operator="equal">
      <formula>"Not Mandatory"</formula>
    </cfRule>
    <cfRule type="cellIs" dxfId="697" priority="13" operator="equal">
      <formula>"Recommended"</formula>
    </cfRule>
  </conditionalFormatting>
  <conditionalFormatting sqref="G66">
    <cfRule type="cellIs" dxfId="696" priority="10" operator="equal">
      <formula>"Not Mandatory"</formula>
    </cfRule>
    <cfRule type="cellIs" dxfId="695" priority="11" operator="equal">
      <formula>"Recommended"</formula>
    </cfRule>
  </conditionalFormatting>
  <conditionalFormatting sqref="G66">
    <cfRule type="cellIs" dxfId="694" priority="8" operator="equal">
      <formula>"Not Mandatory"</formula>
    </cfRule>
    <cfRule type="cellIs" dxfId="693" priority="9" operator="equal">
      <formula>"Recommended"</formula>
    </cfRule>
  </conditionalFormatting>
  <conditionalFormatting sqref="G39">
    <cfRule type="cellIs" dxfId="692" priority="7" operator="equal">
      <formula>"Mandatory"</formula>
    </cfRule>
  </conditionalFormatting>
  <conditionalFormatting sqref="G39">
    <cfRule type="cellIs" dxfId="691" priority="5" operator="equal">
      <formula>"Not Mandatory"</formula>
    </cfRule>
    <cfRule type="cellIs" dxfId="690" priority="6" operator="equal">
      <formula>"Recommended"</formula>
    </cfRule>
  </conditionalFormatting>
  <conditionalFormatting sqref="G39">
    <cfRule type="cellIs" dxfId="689" priority="3" operator="equal">
      <formula>"Not Mandatory"</formula>
    </cfRule>
    <cfRule type="cellIs" dxfId="688" priority="4" operator="equal">
      <formula>"Recommended"</formula>
    </cfRule>
  </conditionalFormatting>
  <conditionalFormatting sqref="G39">
    <cfRule type="cellIs" dxfId="687" priority="1" operator="equal">
      <formula>"Not Mandatory"</formula>
    </cfRule>
    <cfRule type="cellIs" dxfId="686" priority="2" operator="equal">
      <formula>"Recommended"</formula>
    </cfRule>
  </conditionalFormatting>
  <dataValidations count="1">
    <dataValidation type="list" allowBlank="1" showInputMessage="1" showErrorMessage="1" sqref="F4:F213" xr:uid="{5084F3F3-75B5-409C-AA9B-89F45AD1B768}">
      <formula1>$F$1:$F$2</formula1>
    </dataValidation>
  </dataValidations>
  <pageMargins left="0.7" right="0.7" top="0.75" bottom="0.75" header="0.3" footer="0.3"/>
  <pageSetup paperSize="66"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467E-F8B5-4AAD-99A1-2E8DDE14FB93}">
  <sheetPr codeName="Sheet7">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45069.385034722225</v>
      </c>
      <c r="H4" s="162"/>
      <c r="J4" s="2" t="b">
        <f>EXACT(G4,'Vh5205_C-91'!G4)</f>
        <v>0</v>
      </c>
    </row>
    <row r="5" spans="1:10" x14ac:dyDescent="0.35">
      <c r="A5" s="90">
        <v>2</v>
      </c>
      <c r="B5" s="10" t="s">
        <v>685</v>
      </c>
      <c r="C5" s="10" t="s">
        <v>55</v>
      </c>
      <c r="D5" s="146"/>
      <c r="E5" s="146"/>
      <c r="F5" s="19" t="s">
        <v>26</v>
      </c>
      <c r="G5" s="202">
        <v>45089.551701388889</v>
      </c>
      <c r="H5" s="58"/>
      <c r="J5" s="2" t="b">
        <f>EXACT(G5,'Vh5205_C-91'!G5)</f>
        <v>0</v>
      </c>
    </row>
    <row r="6" spans="1:10" x14ac:dyDescent="0.35">
      <c r="A6" s="90">
        <v>3</v>
      </c>
      <c r="B6" s="146" t="s">
        <v>685</v>
      </c>
      <c r="C6" s="146" t="s">
        <v>41</v>
      </c>
      <c r="D6" s="146"/>
      <c r="E6" s="146"/>
      <c r="F6" s="19" t="s">
        <v>26</v>
      </c>
      <c r="G6" s="161" t="s">
        <v>514</v>
      </c>
      <c r="H6" s="58"/>
      <c r="J6" s="2" t="b">
        <f>EXACT(G6,'Vh5205_C-91'!G6)</f>
        <v>0</v>
      </c>
    </row>
    <row r="7" spans="1:10" x14ac:dyDescent="0.35">
      <c r="A7" s="90">
        <v>4</v>
      </c>
      <c r="B7" s="146" t="s">
        <v>685</v>
      </c>
      <c r="C7" s="146" t="s">
        <v>7</v>
      </c>
      <c r="D7" s="146"/>
      <c r="E7" s="146"/>
      <c r="F7" s="19" t="s">
        <v>79</v>
      </c>
      <c r="G7" s="192" t="s">
        <v>499</v>
      </c>
      <c r="H7" s="53" t="s">
        <v>652</v>
      </c>
      <c r="J7" s="176" t="b">
        <f>EXACT(G7,'Vh5205_C-91'!G7)</f>
        <v>1</v>
      </c>
    </row>
    <row r="8" spans="1:10" x14ac:dyDescent="0.35">
      <c r="A8" s="90">
        <v>5</v>
      </c>
      <c r="B8" s="87" t="s">
        <v>685</v>
      </c>
      <c r="C8" s="87" t="s">
        <v>39</v>
      </c>
      <c r="D8" s="87"/>
      <c r="E8" s="87"/>
      <c r="F8" s="22" t="s">
        <v>79</v>
      </c>
      <c r="G8" s="194" t="s">
        <v>524</v>
      </c>
      <c r="H8" s="181" t="s">
        <v>652</v>
      </c>
      <c r="J8" s="176" t="b">
        <f>EXACT(G8,'Vh5205_C-91'!G8)</f>
        <v>1</v>
      </c>
    </row>
    <row r="9" spans="1:10" x14ac:dyDescent="0.35">
      <c r="A9" s="90">
        <v>6</v>
      </c>
      <c r="B9" s="10" t="s">
        <v>686</v>
      </c>
      <c r="C9" s="10" t="s">
        <v>301</v>
      </c>
      <c r="D9" s="10"/>
      <c r="E9" s="10"/>
      <c r="F9" s="19" t="s">
        <v>26</v>
      </c>
      <c r="G9" s="192" t="s">
        <v>196</v>
      </c>
      <c r="H9" s="163" t="s">
        <v>652</v>
      </c>
      <c r="J9" s="176" t="b">
        <f>EXACT(G9,'Vh5205_C-91'!G9)</f>
        <v>1</v>
      </c>
    </row>
    <row r="10" spans="1:10" x14ac:dyDescent="0.35">
      <c r="A10" s="90">
        <v>7</v>
      </c>
      <c r="B10" s="10" t="s">
        <v>686</v>
      </c>
      <c r="C10" s="10" t="s">
        <v>302</v>
      </c>
      <c r="D10" s="94"/>
      <c r="E10" s="146"/>
      <c r="F10" s="19" t="s">
        <v>26</v>
      </c>
      <c r="G10" s="161" t="s">
        <v>523</v>
      </c>
      <c r="H10" s="140" t="s">
        <v>652</v>
      </c>
      <c r="J10" s="176" t="b">
        <f>EXACT(G10,'Vh5205_C-91'!G10)</f>
        <v>1</v>
      </c>
    </row>
    <row r="11" spans="1:10" x14ac:dyDescent="0.35">
      <c r="A11" s="90">
        <v>8</v>
      </c>
      <c r="B11" s="146" t="s">
        <v>686</v>
      </c>
      <c r="C11" s="146" t="s">
        <v>134</v>
      </c>
      <c r="D11" s="146" t="s">
        <v>15</v>
      </c>
      <c r="E11" s="146" t="s">
        <v>85</v>
      </c>
      <c r="F11" s="19" t="s">
        <v>26</v>
      </c>
      <c r="G11" s="192" t="s">
        <v>197</v>
      </c>
      <c r="H11" s="53" t="s">
        <v>652</v>
      </c>
      <c r="J11" s="176" t="b">
        <f>EXACT(G11,'Vh5205_C-91'!G11)</f>
        <v>1</v>
      </c>
    </row>
    <row r="12" spans="1:10" x14ac:dyDescent="0.35">
      <c r="A12" s="90">
        <v>9</v>
      </c>
      <c r="B12" s="10" t="s">
        <v>686</v>
      </c>
      <c r="C12" s="10" t="s">
        <v>310</v>
      </c>
      <c r="D12" s="146"/>
      <c r="E12" s="146"/>
      <c r="F12" s="19" t="s">
        <v>26</v>
      </c>
      <c r="G12" s="192" t="s">
        <v>198</v>
      </c>
      <c r="H12" s="53" t="s">
        <v>652</v>
      </c>
      <c r="J12" s="176" t="b">
        <f>EXACT(G12,'Vh5205_C-91'!G12)</f>
        <v>1</v>
      </c>
    </row>
    <row r="13" spans="1:10" x14ac:dyDescent="0.35">
      <c r="A13" s="90">
        <v>10</v>
      </c>
      <c r="B13" s="10" t="s">
        <v>686</v>
      </c>
      <c r="C13" s="10" t="s">
        <v>311</v>
      </c>
      <c r="D13" s="146"/>
      <c r="E13" s="146"/>
      <c r="F13" s="19" t="s">
        <v>26</v>
      </c>
      <c r="G13" s="192" t="s">
        <v>199</v>
      </c>
      <c r="H13" s="53" t="s">
        <v>652</v>
      </c>
      <c r="J13" s="176" t="b">
        <f>EXACT(G13,'Vh5205_C-91'!G13)</f>
        <v>1</v>
      </c>
    </row>
    <row r="14" spans="1:10" ht="17.5" x14ac:dyDescent="0.35">
      <c r="A14" s="90">
        <v>11</v>
      </c>
      <c r="B14" s="10" t="s">
        <v>686</v>
      </c>
      <c r="C14" s="10" t="s">
        <v>123</v>
      </c>
      <c r="D14" s="146" t="s">
        <v>557</v>
      </c>
      <c r="E14" s="146" t="s">
        <v>4</v>
      </c>
      <c r="F14" s="19" t="s">
        <v>26</v>
      </c>
      <c r="G14" s="161">
        <v>170</v>
      </c>
      <c r="H14" s="140"/>
      <c r="J14" s="1" t="b">
        <f>EXACT(G14,'Vh5205_C-91'!G14)</f>
        <v>1</v>
      </c>
    </row>
    <row r="15" spans="1:10" x14ac:dyDescent="0.35">
      <c r="A15" s="90">
        <v>12</v>
      </c>
      <c r="B15" s="146" t="s">
        <v>686</v>
      </c>
      <c r="C15" s="146" t="s">
        <v>116</v>
      </c>
      <c r="D15" s="146"/>
      <c r="E15" s="146"/>
      <c r="F15" s="19" t="s">
        <v>26</v>
      </c>
      <c r="G15" s="161" t="s">
        <v>684</v>
      </c>
      <c r="H15" s="53" t="s">
        <v>652</v>
      </c>
      <c r="J15" s="176" t="b">
        <f>EXACT(G15,'Vh5205_C-91'!G15)</f>
        <v>1</v>
      </c>
    </row>
    <row r="16" spans="1:10" x14ac:dyDescent="0.35">
      <c r="A16" s="90">
        <v>13</v>
      </c>
      <c r="B16" s="10" t="s">
        <v>686</v>
      </c>
      <c r="C16" s="10" t="s">
        <v>408</v>
      </c>
      <c r="D16" s="146"/>
      <c r="E16" s="146"/>
      <c r="F16" s="19" t="s">
        <v>26</v>
      </c>
      <c r="G16" s="161" t="s">
        <v>519</v>
      </c>
      <c r="H16" s="140"/>
      <c r="J16" s="1" t="b">
        <f>EXACT(G16,'Vh5205_C-91'!G16)</f>
        <v>1</v>
      </c>
    </row>
    <row r="17" spans="1:10" x14ac:dyDescent="0.35">
      <c r="A17" s="90">
        <v>14</v>
      </c>
      <c r="B17" s="10" t="s">
        <v>686</v>
      </c>
      <c r="C17" s="10" t="s">
        <v>409</v>
      </c>
      <c r="D17" s="146"/>
      <c r="E17" s="146"/>
      <c r="F17" s="19" t="s">
        <v>26</v>
      </c>
      <c r="G17" s="161" t="s">
        <v>524</v>
      </c>
      <c r="H17" s="140"/>
      <c r="J17" s="1" t="b">
        <f>EXACT(G17,'Vh5205_C-91'!G17)</f>
        <v>1</v>
      </c>
    </row>
    <row r="18" spans="1:10" s="7" customFormat="1" x14ac:dyDescent="0.35">
      <c r="A18" s="90">
        <v>15</v>
      </c>
      <c r="B18" s="146" t="s">
        <v>686</v>
      </c>
      <c r="C18" s="146" t="s">
        <v>177</v>
      </c>
      <c r="D18" s="146"/>
      <c r="E18" s="146"/>
      <c r="F18" s="19" t="s">
        <v>26</v>
      </c>
      <c r="G18" s="161" t="s">
        <v>524</v>
      </c>
      <c r="H18" s="177"/>
      <c r="J18" s="1" t="b">
        <f>EXACT(G18,'Vh5205_C-91'!G18)</f>
        <v>1</v>
      </c>
    </row>
    <row r="19" spans="1:10" x14ac:dyDescent="0.35">
      <c r="A19" s="90">
        <v>16</v>
      </c>
      <c r="B19" s="10" t="s">
        <v>686</v>
      </c>
      <c r="C19" s="10" t="s">
        <v>124</v>
      </c>
      <c r="D19" s="146"/>
      <c r="E19" s="146" t="s">
        <v>0</v>
      </c>
      <c r="F19" s="19" t="s">
        <v>79</v>
      </c>
      <c r="G19" s="203"/>
      <c r="H19" s="140"/>
      <c r="J19" s="1" t="b">
        <f>EXACT(G19,'Vh5205_C-91'!G19)</f>
        <v>1</v>
      </c>
    </row>
    <row r="20" spans="1:10" x14ac:dyDescent="0.35">
      <c r="A20" s="90">
        <v>17</v>
      </c>
      <c r="B20" s="10" t="s">
        <v>686</v>
      </c>
      <c r="C20" s="10" t="s">
        <v>188</v>
      </c>
      <c r="D20" s="146"/>
      <c r="E20" s="146" t="s">
        <v>0</v>
      </c>
      <c r="F20" s="19" t="s">
        <v>26</v>
      </c>
      <c r="G20" s="193" t="s">
        <v>618</v>
      </c>
      <c r="H20" s="140" t="s">
        <v>652</v>
      </c>
      <c r="J20" s="176" t="b">
        <f>EXACT(G20,'Vh5205_C-91'!G20)</f>
        <v>1</v>
      </c>
    </row>
    <row r="21" spans="1:10" x14ac:dyDescent="0.35">
      <c r="A21" s="90">
        <v>18</v>
      </c>
      <c r="B21" s="13" t="s">
        <v>686</v>
      </c>
      <c r="C21" s="13" t="s">
        <v>131</v>
      </c>
      <c r="D21" s="87"/>
      <c r="E21" s="87"/>
      <c r="F21" s="22" t="s">
        <v>79</v>
      </c>
      <c r="G21" s="196"/>
      <c r="H21" s="182"/>
      <c r="J21" s="1" t="b">
        <f>EXACT(G21,'Vh5205_C-91'!G21)</f>
        <v>1</v>
      </c>
    </row>
    <row r="22" spans="1:10" x14ac:dyDescent="0.35">
      <c r="A22" s="90">
        <v>19</v>
      </c>
      <c r="B22" s="146" t="s">
        <v>687</v>
      </c>
      <c r="C22" s="146" t="s">
        <v>65</v>
      </c>
      <c r="D22" s="146"/>
      <c r="E22" s="146"/>
      <c r="F22" s="19" t="s">
        <v>79</v>
      </c>
      <c r="G22" s="192" t="s">
        <v>48</v>
      </c>
      <c r="H22" s="53" t="s">
        <v>652</v>
      </c>
      <c r="J22" s="176" t="b">
        <f>EXACT(G22,'Vh5205_C-91'!G22)</f>
        <v>1</v>
      </c>
    </row>
    <row r="23" spans="1:10" x14ac:dyDescent="0.35">
      <c r="A23" s="90">
        <v>20</v>
      </c>
      <c r="B23" s="146" t="s">
        <v>687</v>
      </c>
      <c r="C23" s="146" t="s">
        <v>69</v>
      </c>
      <c r="D23" s="146"/>
      <c r="E23" s="146"/>
      <c r="F23" s="19" t="s">
        <v>79</v>
      </c>
      <c r="G23" s="161"/>
      <c r="H23" s="140"/>
      <c r="J23" s="1" t="b">
        <f>EXACT(G23,'Vh5205_C-91'!G23)</f>
        <v>1</v>
      </c>
    </row>
    <row r="24" spans="1:10" x14ac:dyDescent="0.35">
      <c r="A24" s="90">
        <v>21</v>
      </c>
      <c r="B24" s="146" t="s">
        <v>687</v>
      </c>
      <c r="C24" s="146" t="s">
        <v>70</v>
      </c>
      <c r="D24" s="146"/>
      <c r="E24" s="146"/>
      <c r="F24" s="19" t="s">
        <v>79</v>
      </c>
      <c r="G24" s="161"/>
      <c r="H24" s="140"/>
      <c r="J24" s="1" t="b">
        <f>EXACT(G24,'Vh5205_C-91'!G24)</f>
        <v>1</v>
      </c>
    </row>
    <row r="25" spans="1:10" x14ac:dyDescent="0.35">
      <c r="A25" s="90">
        <v>22</v>
      </c>
      <c r="B25" s="146" t="s">
        <v>687</v>
      </c>
      <c r="C25" s="146" t="s">
        <v>71</v>
      </c>
      <c r="D25" s="146"/>
      <c r="E25" s="146"/>
      <c r="F25" s="19" t="s">
        <v>79</v>
      </c>
      <c r="G25" s="161"/>
      <c r="H25" s="140"/>
      <c r="J25" s="1" t="b">
        <f>EXACT(G25,'Vh5205_C-91'!G25)</f>
        <v>1</v>
      </c>
    </row>
    <row r="26" spans="1:10" x14ac:dyDescent="0.35">
      <c r="A26" s="90">
        <v>23</v>
      </c>
      <c r="B26" s="146" t="s">
        <v>687</v>
      </c>
      <c r="C26" s="146" t="s">
        <v>72</v>
      </c>
      <c r="D26" s="146"/>
      <c r="E26" s="146"/>
      <c r="F26" s="19" t="s">
        <v>79</v>
      </c>
      <c r="G26" s="161"/>
      <c r="H26" s="140"/>
      <c r="J26" s="1" t="b">
        <f>EXACT(G26,'Vh5205_C-91'!G26)</f>
        <v>1</v>
      </c>
    </row>
    <row r="27" spans="1:10" x14ac:dyDescent="0.35">
      <c r="A27" s="90">
        <v>24</v>
      </c>
      <c r="B27" s="146" t="s">
        <v>687</v>
      </c>
      <c r="C27" s="146" t="s">
        <v>81</v>
      </c>
      <c r="D27" s="146"/>
      <c r="E27" s="146"/>
      <c r="F27" s="19" t="s">
        <v>79</v>
      </c>
      <c r="G27" s="161"/>
      <c r="H27" s="140"/>
      <c r="J27" s="1" t="b">
        <f>EXACT(G27,'Vh5205_C-91'!G27)</f>
        <v>1</v>
      </c>
    </row>
    <row r="28" spans="1:10" x14ac:dyDescent="0.35">
      <c r="A28" s="90">
        <v>25</v>
      </c>
      <c r="B28" s="146" t="s">
        <v>687</v>
      </c>
      <c r="C28" s="146" t="s">
        <v>82</v>
      </c>
      <c r="D28" s="146"/>
      <c r="E28" s="146"/>
      <c r="F28" s="22" t="s">
        <v>79</v>
      </c>
      <c r="G28" s="196"/>
      <c r="H28" s="182"/>
      <c r="J28" s="1" t="b">
        <f>EXACT(G28,'Vh5205_C-91'!G28)</f>
        <v>1</v>
      </c>
    </row>
    <row r="29" spans="1:10" x14ac:dyDescent="0.35">
      <c r="A29" s="90">
        <v>26</v>
      </c>
      <c r="B29" s="99" t="s">
        <v>688</v>
      </c>
      <c r="C29" s="99" t="s">
        <v>312</v>
      </c>
      <c r="D29" s="100"/>
      <c r="E29" s="100"/>
      <c r="F29" s="18" t="s">
        <v>26</v>
      </c>
      <c r="G29" s="196" t="s">
        <v>200</v>
      </c>
      <c r="H29" s="182" t="s">
        <v>652</v>
      </c>
      <c r="J29" s="176" t="b">
        <f>EXACT(G29,'Vh5205_C-91'!G29)</f>
        <v>1</v>
      </c>
    </row>
    <row r="30" spans="1:10" x14ac:dyDescent="0.35">
      <c r="A30" s="90">
        <v>27</v>
      </c>
      <c r="B30" s="102" t="s">
        <v>689</v>
      </c>
      <c r="C30" s="102" t="s">
        <v>147</v>
      </c>
      <c r="D30" s="100"/>
      <c r="E30" s="100"/>
      <c r="F30" s="18" t="s">
        <v>79</v>
      </c>
      <c r="G30" s="161"/>
      <c r="H30" s="140"/>
      <c r="J30" s="1" t="b">
        <f>EXACT(G30,'Vh5205_C-91'!G30)</f>
        <v>1</v>
      </c>
    </row>
    <row r="31" spans="1:10" s="7" customFormat="1" ht="31" x14ac:dyDescent="0.35">
      <c r="A31" s="90">
        <v>28</v>
      </c>
      <c r="B31" s="10" t="s">
        <v>689</v>
      </c>
      <c r="C31" s="10" t="s">
        <v>324</v>
      </c>
      <c r="D31" s="146"/>
      <c r="E31" s="10"/>
      <c r="F31" s="19" t="s">
        <v>26</v>
      </c>
      <c r="G31" s="161" t="s">
        <v>460</v>
      </c>
      <c r="H31" s="177" t="s">
        <v>652</v>
      </c>
      <c r="J31" s="176" t="b">
        <f>EXACT(G31,'Vh5205_C-91'!G31)</f>
        <v>1</v>
      </c>
    </row>
    <row r="32" spans="1:10" s="7" customFormat="1" x14ac:dyDescent="0.35">
      <c r="A32" s="90">
        <v>29</v>
      </c>
      <c r="B32" s="10" t="s">
        <v>689</v>
      </c>
      <c r="C32" s="10" t="s">
        <v>303</v>
      </c>
      <c r="D32" s="146"/>
      <c r="E32" s="10"/>
      <c r="F32" s="19" t="s">
        <v>26</v>
      </c>
      <c r="G32" s="161" t="s">
        <v>461</v>
      </c>
      <c r="H32" s="177" t="s">
        <v>652</v>
      </c>
      <c r="J32" s="176" t="b">
        <f>EXACT(G32,'Vh5205_C-91'!G32)</f>
        <v>1</v>
      </c>
    </row>
    <row r="33" spans="1:10" ht="31" x14ac:dyDescent="0.35">
      <c r="A33" s="90">
        <v>30</v>
      </c>
      <c r="B33" s="10" t="s">
        <v>689</v>
      </c>
      <c r="C33" s="10" t="s">
        <v>304</v>
      </c>
      <c r="D33" s="146"/>
      <c r="E33" s="146"/>
      <c r="F33" s="19" t="s">
        <v>79</v>
      </c>
      <c r="G33" s="161" t="s">
        <v>285</v>
      </c>
      <c r="H33" s="140" t="s">
        <v>652</v>
      </c>
      <c r="J33" s="176" t="b">
        <f>EXACT(G33,'Vh5205_C-91'!G33)</f>
        <v>1</v>
      </c>
    </row>
    <row r="34" spans="1:10" x14ac:dyDescent="0.35">
      <c r="A34" s="90">
        <v>31</v>
      </c>
      <c r="B34" s="10" t="s">
        <v>689</v>
      </c>
      <c r="C34" s="10" t="s">
        <v>83</v>
      </c>
      <c r="D34" s="146"/>
      <c r="E34" s="146" t="s">
        <v>85</v>
      </c>
      <c r="F34" s="19" t="s">
        <v>79</v>
      </c>
      <c r="G34" s="192"/>
      <c r="H34" s="140"/>
      <c r="J34" s="1" t="b">
        <f>EXACT(G34,'Vh5205_C-91'!G34)</f>
        <v>1</v>
      </c>
    </row>
    <row r="35" spans="1:10" x14ac:dyDescent="0.35">
      <c r="A35" s="90">
        <v>32</v>
      </c>
      <c r="B35" s="10" t="s">
        <v>689</v>
      </c>
      <c r="C35" s="10" t="s">
        <v>84</v>
      </c>
      <c r="D35" s="146"/>
      <c r="E35" s="146"/>
      <c r="F35" s="19" t="s">
        <v>79</v>
      </c>
      <c r="G35" s="192"/>
      <c r="H35" s="140"/>
      <c r="J35" s="1" t="b">
        <f>EXACT(G35,'Vh5205_C-91'!G35)</f>
        <v>1</v>
      </c>
    </row>
    <row r="36" spans="1:10" x14ac:dyDescent="0.35">
      <c r="A36" s="90">
        <v>33</v>
      </c>
      <c r="B36" s="10" t="s">
        <v>689</v>
      </c>
      <c r="C36" s="10" t="s">
        <v>61</v>
      </c>
      <c r="D36" s="146"/>
      <c r="E36" s="146"/>
      <c r="F36" s="19" t="s">
        <v>26</v>
      </c>
      <c r="G36" s="192" t="s">
        <v>611</v>
      </c>
      <c r="H36" s="140" t="s">
        <v>652</v>
      </c>
      <c r="J36" s="176" t="b">
        <f>EXACT(G36,'Vh5205_C-91'!G36)</f>
        <v>1</v>
      </c>
    </row>
    <row r="37" spans="1:10" x14ac:dyDescent="0.35">
      <c r="A37" s="90">
        <v>34</v>
      </c>
      <c r="B37" s="13" t="s">
        <v>689</v>
      </c>
      <c r="C37" s="13" t="s">
        <v>56</v>
      </c>
      <c r="D37" s="146"/>
      <c r="E37" s="146"/>
      <c r="F37" s="22" t="s">
        <v>26</v>
      </c>
      <c r="G37" s="194" t="s">
        <v>201</v>
      </c>
      <c r="H37" s="182" t="s">
        <v>652</v>
      </c>
      <c r="J37" s="176" t="b">
        <f>EXACT(G37,'Vh5205_C-91'!G37)</f>
        <v>1</v>
      </c>
    </row>
    <row r="38" spans="1:10" s="7" customFormat="1" x14ac:dyDescent="0.35">
      <c r="A38" s="90">
        <v>35</v>
      </c>
      <c r="B38" s="10" t="s">
        <v>690</v>
      </c>
      <c r="C38" s="10" t="s">
        <v>77</v>
      </c>
      <c r="D38" s="100"/>
      <c r="E38" s="102"/>
      <c r="F38" s="19" t="s">
        <v>26</v>
      </c>
      <c r="G38" s="161" t="s">
        <v>278</v>
      </c>
      <c r="H38" s="177" t="s">
        <v>652</v>
      </c>
      <c r="J38" s="176" t="b">
        <f>EXACT(G38,'Vh5205_C-91'!G38)</f>
        <v>1</v>
      </c>
    </row>
    <row r="39" spans="1:10" s="7" customFormat="1" ht="58.5" customHeight="1" x14ac:dyDescent="0.35">
      <c r="A39" s="90">
        <v>36</v>
      </c>
      <c r="B39" s="10" t="s">
        <v>690</v>
      </c>
      <c r="C39" s="10" t="s">
        <v>560</v>
      </c>
      <c r="D39" s="146"/>
      <c r="E39" s="10"/>
      <c r="F39" s="19" t="s">
        <v>26</v>
      </c>
      <c r="G39" s="161" t="s">
        <v>716</v>
      </c>
      <c r="H39" s="177" t="s">
        <v>652</v>
      </c>
      <c r="J39" s="176" t="b">
        <f>EXACT(G39,'Vh5205_C-91'!G39)</f>
        <v>1</v>
      </c>
    </row>
    <row r="40" spans="1:10" s="7" customFormat="1" ht="31" x14ac:dyDescent="0.35">
      <c r="A40" s="90">
        <v>37</v>
      </c>
      <c r="B40" s="10" t="s">
        <v>690</v>
      </c>
      <c r="C40" s="10" t="s">
        <v>305</v>
      </c>
      <c r="D40" s="146"/>
      <c r="E40" s="10"/>
      <c r="F40" s="19" t="s">
        <v>26</v>
      </c>
      <c r="G40" s="161" t="s">
        <v>619</v>
      </c>
      <c r="H40" s="177" t="s">
        <v>652</v>
      </c>
      <c r="J40" s="176" t="b">
        <f>EXACT(G40,'Vh5205_C-91'!G40)</f>
        <v>1</v>
      </c>
    </row>
    <row r="41" spans="1:10" s="7" customFormat="1" x14ac:dyDescent="0.35">
      <c r="A41" s="90">
        <v>38</v>
      </c>
      <c r="B41" s="10" t="s">
        <v>690</v>
      </c>
      <c r="C41" s="10" t="s">
        <v>128</v>
      </c>
      <c r="D41" s="146"/>
      <c r="E41" s="10"/>
      <c r="F41" s="19" t="s">
        <v>26</v>
      </c>
      <c r="G41" s="195">
        <v>35458</v>
      </c>
      <c r="H41" s="177" t="s">
        <v>652</v>
      </c>
      <c r="J41" s="176" t="b">
        <f>EXACT(G41,'Vh5205_C-91'!G41)</f>
        <v>1</v>
      </c>
    </row>
    <row r="42" spans="1:10" s="7" customFormat="1" x14ac:dyDescent="0.35">
      <c r="A42" s="90">
        <v>39</v>
      </c>
      <c r="B42" s="10" t="s">
        <v>690</v>
      </c>
      <c r="C42" s="10" t="s">
        <v>129</v>
      </c>
      <c r="D42" s="146"/>
      <c r="E42" s="10"/>
      <c r="F42" s="19" t="s">
        <v>79</v>
      </c>
      <c r="G42" s="192"/>
      <c r="H42" s="177" t="s">
        <v>652</v>
      </c>
      <c r="J42" s="176" t="b">
        <f>EXACT(G42,'Vh5205_C-91'!G42)</f>
        <v>1</v>
      </c>
    </row>
    <row r="43" spans="1:10" s="7" customFormat="1" x14ac:dyDescent="0.35">
      <c r="A43" s="90">
        <v>40</v>
      </c>
      <c r="B43" s="13" t="s">
        <v>690</v>
      </c>
      <c r="C43" s="13" t="s">
        <v>130</v>
      </c>
      <c r="D43" s="87"/>
      <c r="E43" s="13"/>
      <c r="F43" s="22" t="s">
        <v>79</v>
      </c>
      <c r="G43" s="194"/>
      <c r="H43" s="180" t="s">
        <v>652</v>
      </c>
      <c r="J43" s="176" t="b">
        <f>EXACT(G43,'Vh5205_C-91'!G43)</f>
        <v>1</v>
      </c>
    </row>
    <row r="44" spans="1:10" x14ac:dyDescent="0.35">
      <c r="A44" s="90">
        <v>41</v>
      </c>
      <c r="B44" s="102" t="s">
        <v>691</v>
      </c>
      <c r="C44" s="102" t="s">
        <v>117</v>
      </c>
      <c r="D44" s="100"/>
      <c r="E44" s="100"/>
      <c r="F44" s="18" t="s">
        <v>26</v>
      </c>
      <c r="G44" s="161" t="s">
        <v>462</v>
      </c>
      <c r="H44" s="177" t="s">
        <v>652</v>
      </c>
      <c r="J44" s="176" t="b">
        <f>EXACT(G44,'Vh5205_C-91'!G44)</f>
        <v>1</v>
      </c>
    </row>
    <row r="45" spans="1:10" s="7" customFormat="1" x14ac:dyDescent="0.35">
      <c r="A45" s="90">
        <v>42</v>
      </c>
      <c r="B45" s="10" t="s">
        <v>691</v>
      </c>
      <c r="C45" s="10" t="s">
        <v>87</v>
      </c>
      <c r="D45" s="146"/>
      <c r="E45" s="10"/>
      <c r="F45" s="19" t="s">
        <v>79</v>
      </c>
      <c r="G45" s="192" t="s">
        <v>196</v>
      </c>
      <c r="H45" s="177" t="s">
        <v>652</v>
      </c>
      <c r="J45" s="176" t="b">
        <f>EXACT(G45,'Vh5205_C-91'!G45)</f>
        <v>1</v>
      </c>
    </row>
    <row r="46" spans="1:10" s="7" customFormat="1" x14ac:dyDescent="0.35">
      <c r="A46" s="90">
        <v>43</v>
      </c>
      <c r="B46" s="10" t="s">
        <v>691</v>
      </c>
      <c r="C46" s="10" t="s">
        <v>88</v>
      </c>
      <c r="D46" s="146"/>
      <c r="E46" s="10"/>
      <c r="F46" s="19" t="s">
        <v>79</v>
      </c>
      <c r="G46" s="192" t="s">
        <v>196</v>
      </c>
      <c r="H46" s="177" t="s">
        <v>652</v>
      </c>
      <c r="J46" s="176" t="b">
        <f>EXACT(G46,'Vh5205_C-91'!G46)</f>
        <v>1</v>
      </c>
    </row>
    <row r="47" spans="1:10" s="7" customFormat="1" x14ac:dyDescent="0.35">
      <c r="A47" s="90">
        <v>44</v>
      </c>
      <c r="B47" s="10" t="s">
        <v>691</v>
      </c>
      <c r="C47" s="10" t="s">
        <v>60</v>
      </c>
      <c r="D47" s="146"/>
      <c r="E47" s="10"/>
      <c r="F47" s="19" t="s">
        <v>79</v>
      </c>
      <c r="G47" s="192" t="s">
        <v>500</v>
      </c>
      <c r="H47" s="177" t="s">
        <v>652</v>
      </c>
      <c r="J47" s="176" t="b">
        <f>EXACT(G47,'Vh5205_C-91'!G47)</f>
        <v>1</v>
      </c>
    </row>
    <row r="48" spans="1:10" x14ac:dyDescent="0.35">
      <c r="A48" s="90">
        <v>45</v>
      </c>
      <c r="B48" s="10" t="s">
        <v>691</v>
      </c>
      <c r="C48" s="10" t="s">
        <v>90</v>
      </c>
      <c r="D48" s="146"/>
      <c r="E48" s="146"/>
      <c r="F48" s="19" t="s">
        <v>26</v>
      </c>
      <c r="G48" s="161" t="s">
        <v>649</v>
      </c>
      <c r="H48" s="177" t="s">
        <v>652</v>
      </c>
      <c r="J48" s="176" t="b">
        <f>EXACT(G48,'Vh5205_C-91'!G48)</f>
        <v>1</v>
      </c>
    </row>
    <row r="49" spans="1:10" x14ac:dyDescent="0.35">
      <c r="A49" s="90">
        <v>46</v>
      </c>
      <c r="B49" s="10" t="s">
        <v>691</v>
      </c>
      <c r="C49" s="10" t="s">
        <v>91</v>
      </c>
      <c r="D49" s="146"/>
      <c r="E49" s="146"/>
      <c r="F49" s="19" t="s">
        <v>26</v>
      </c>
      <c r="G49" s="161" t="s">
        <v>649</v>
      </c>
      <c r="H49" s="177" t="s">
        <v>652</v>
      </c>
      <c r="J49" s="176" t="b">
        <f>EXACT(G49,'Vh5205_C-91'!G49)</f>
        <v>1</v>
      </c>
    </row>
    <row r="50" spans="1:10" x14ac:dyDescent="0.35">
      <c r="A50" s="90">
        <v>47</v>
      </c>
      <c r="B50" s="13" t="s">
        <v>691</v>
      </c>
      <c r="C50" s="13" t="s">
        <v>86</v>
      </c>
      <c r="D50" s="87"/>
      <c r="E50" s="87"/>
      <c r="F50" s="22" t="s">
        <v>79</v>
      </c>
      <c r="G50" s="194"/>
      <c r="H50" s="180"/>
      <c r="J50" s="1" t="b">
        <f>EXACT(G50,'Vh5205_C-91'!G50)</f>
        <v>1</v>
      </c>
    </row>
    <row r="51" spans="1:10" s="7" customFormat="1" x14ac:dyDescent="0.35">
      <c r="A51" s="90">
        <v>48</v>
      </c>
      <c r="B51" s="10" t="s">
        <v>692</v>
      </c>
      <c r="C51" s="10" t="s">
        <v>95</v>
      </c>
      <c r="D51" s="146"/>
      <c r="E51" s="10" t="s">
        <v>92</v>
      </c>
      <c r="F51" s="19" t="s">
        <v>26</v>
      </c>
      <c r="G51" s="161" t="s">
        <v>680</v>
      </c>
      <c r="H51" s="177" t="s">
        <v>652</v>
      </c>
      <c r="J51" s="176" t="b">
        <f>EXACT(G51,'Vh5205_C-91'!G51)</f>
        <v>1</v>
      </c>
    </row>
    <row r="52" spans="1:10" s="7" customFormat="1" x14ac:dyDescent="0.35">
      <c r="A52" s="90">
        <v>49</v>
      </c>
      <c r="B52" s="10" t="s">
        <v>692</v>
      </c>
      <c r="C52" s="10" t="s">
        <v>96</v>
      </c>
      <c r="D52" s="146"/>
      <c r="E52" s="10" t="s">
        <v>92</v>
      </c>
      <c r="F52" s="19" t="s">
        <v>26</v>
      </c>
      <c r="G52" s="161" t="s">
        <v>681</v>
      </c>
      <c r="H52" s="177" t="s">
        <v>652</v>
      </c>
      <c r="J52" s="176" t="b">
        <f>EXACT(G52,'Vh5205_C-91'!G52)</f>
        <v>1</v>
      </c>
    </row>
    <row r="53" spans="1:10" s="7" customFormat="1" x14ac:dyDescent="0.35">
      <c r="A53" s="90">
        <v>50</v>
      </c>
      <c r="B53" s="10" t="s">
        <v>692</v>
      </c>
      <c r="C53" s="10" t="s">
        <v>149</v>
      </c>
      <c r="D53" s="146"/>
      <c r="E53" s="10"/>
      <c r="F53" s="19" t="s">
        <v>26</v>
      </c>
      <c r="G53" s="161" t="s">
        <v>681</v>
      </c>
      <c r="H53" s="177" t="s">
        <v>652</v>
      </c>
      <c r="J53" s="176" t="b">
        <f>EXACT(G53,'Vh5205_C-91'!G53)</f>
        <v>1</v>
      </c>
    </row>
    <row r="54" spans="1:10" s="7" customFormat="1" x14ac:dyDescent="0.35">
      <c r="A54" s="90">
        <v>51</v>
      </c>
      <c r="B54" s="10" t="s">
        <v>692</v>
      </c>
      <c r="C54" s="10" t="s">
        <v>148</v>
      </c>
      <c r="D54" s="10"/>
      <c r="E54" s="10"/>
      <c r="F54" s="19" t="s">
        <v>79</v>
      </c>
      <c r="G54" s="161" t="s">
        <v>467</v>
      </c>
      <c r="H54" s="177" t="s">
        <v>652</v>
      </c>
      <c r="J54" s="176" t="b">
        <f>EXACT(G54,'Vh5205_C-91'!G54)</f>
        <v>1</v>
      </c>
    </row>
    <row r="55" spans="1:10" s="7" customFormat="1" x14ac:dyDescent="0.35">
      <c r="A55" s="90">
        <v>52</v>
      </c>
      <c r="B55" s="10" t="s">
        <v>692</v>
      </c>
      <c r="C55" s="10" t="s">
        <v>100</v>
      </c>
      <c r="D55" s="146"/>
      <c r="E55" s="10"/>
      <c r="F55" s="19" t="s">
        <v>79</v>
      </c>
      <c r="G55" s="192"/>
      <c r="H55" s="177"/>
      <c r="J55" s="1" t="b">
        <f>EXACT(G55,'Vh5205_C-91'!G55)</f>
        <v>1</v>
      </c>
    </row>
    <row r="56" spans="1:10" s="7" customFormat="1" x14ac:dyDescent="0.35">
      <c r="A56" s="90">
        <v>53</v>
      </c>
      <c r="B56" s="13" t="s">
        <v>692</v>
      </c>
      <c r="C56" s="13" t="s">
        <v>101</v>
      </c>
      <c r="D56" s="87"/>
      <c r="E56" s="13"/>
      <c r="F56" s="22" t="s">
        <v>79</v>
      </c>
      <c r="G56" s="194"/>
      <c r="H56" s="180"/>
      <c r="J56" s="1" t="b">
        <f>EXACT(G56,'Vh5205_C-91'!G56)</f>
        <v>1</v>
      </c>
    </row>
    <row r="57" spans="1:10" s="7" customFormat="1" x14ac:dyDescent="0.35">
      <c r="A57" s="90">
        <v>54</v>
      </c>
      <c r="B57" s="102" t="s">
        <v>693</v>
      </c>
      <c r="C57" s="102" t="s">
        <v>93</v>
      </c>
      <c r="D57" s="146"/>
      <c r="E57" s="10"/>
      <c r="F57" s="19" t="s">
        <v>26</v>
      </c>
      <c r="G57" s="161" t="s">
        <v>483</v>
      </c>
      <c r="H57" s="177" t="s">
        <v>652</v>
      </c>
      <c r="J57" s="176" t="b">
        <f>EXACT(G57,'Vh5205_C-91'!G57)</f>
        <v>1</v>
      </c>
    </row>
    <row r="58" spans="1:10" s="7" customFormat="1" x14ac:dyDescent="0.35">
      <c r="A58" s="90">
        <v>55</v>
      </c>
      <c r="B58" s="10" t="s">
        <v>693</v>
      </c>
      <c r="C58" s="10" t="s">
        <v>104</v>
      </c>
      <c r="D58" s="146"/>
      <c r="E58" s="10" t="s">
        <v>51</v>
      </c>
      <c r="F58" s="19" t="s">
        <v>26</v>
      </c>
      <c r="G58" s="161" t="s">
        <v>524</v>
      </c>
      <c r="H58" s="177" t="s">
        <v>652</v>
      </c>
      <c r="J58" s="176" t="b">
        <f>EXACT(G58,'Vh5205_C-91'!G58)</f>
        <v>1</v>
      </c>
    </row>
    <row r="59" spans="1:10" s="7" customFormat="1" x14ac:dyDescent="0.35">
      <c r="A59" s="90">
        <v>56</v>
      </c>
      <c r="B59" s="104" t="s">
        <v>693</v>
      </c>
      <c r="C59" s="104" t="s">
        <v>418</v>
      </c>
      <c r="D59" s="104"/>
      <c r="E59" s="104"/>
      <c r="F59" s="19" t="s">
        <v>26</v>
      </c>
      <c r="G59" s="161" t="s">
        <v>524</v>
      </c>
      <c r="H59" s="177" t="s">
        <v>652</v>
      </c>
      <c r="J59" s="176" t="b">
        <f>EXACT(G59,'Vh5205_C-91'!G59)</f>
        <v>1</v>
      </c>
    </row>
    <row r="60" spans="1:10" s="7" customFormat="1" x14ac:dyDescent="0.35">
      <c r="A60" s="90">
        <v>57</v>
      </c>
      <c r="B60" s="10" t="s">
        <v>693</v>
      </c>
      <c r="C60" s="10" t="s">
        <v>103</v>
      </c>
      <c r="D60" s="146"/>
      <c r="E60" s="10"/>
      <c r="F60" s="19" t="s">
        <v>79</v>
      </c>
      <c r="G60" s="161" t="s">
        <v>524</v>
      </c>
      <c r="H60" s="177" t="s">
        <v>652</v>
      </c>
      <c r="J60" s="176" t="b">
        <f>EXACT(G60,'Vh5205_C-91'!G60)</f>
        <v>1</v>
      </c>
    </row>
    <row r="61" spans="1:10" s="7" customFormat="1" x14ac:dyDescent="0.35">
      <c r="A61" s="90">
        <v>58</v>
      </c>
      <c r="B61" s="10" t="s">
        <v>693</v>
      </c>
      <c r="C61" s="10" t="s">
        <v>125</v>
      </c>
      <c r="D61" s="146"/>
      <c r="E61" s="10" t="s">
        <v>1</v>
      </c>
      <c r="F61" s="19" t="s">
        <v>79</v>
      </c>
      <c r="G61" s="161"/>
      <c r="H61" s="177"/>
      <c r="J61" s="2" t="b">
        <f>EXACT(G61,'Vh5205_C-91'!G61)</f>
        <v>1</v>
      </c>
    </row>
    <row r="62" spans="1:10" s="7" customFormat="1" x14ac:dyDescent="0.35">
      <c r="A62" s="90">
        <v>59</v>
      </c>
      <c r="B62" s="10" t="s">
        <v>693</v>
      </c>
      <c r="C62" s="10" t="s">
        <v>62</v>
      </c>
      <c r="D62" s="146"/>
      <c r="E62" s="10" t="s">
        <v>51</v>
      </c>
      <c r="F62" s="19" t="s">
        <v>79</v>
      </c>
      <c r="G62" s="161"/>
      <c r="H62" s="177"/>
      <c r="J62" s="1" t="b">
        <f>EXACT(G62,'Vh5205_C-91'!G62)</f>
        <v>1</v>
      </c>
    </row>
    <row r="63" spans="1:10" s="7" customFormat="1" x14ac:dyDescent="0.35">
      <c r="A63" s="90">
        <v>60</v>
      </c>
      <c r="B63" s="10" t="s">
        <v>693</v>
      </c>
      <c r="C63" s="10" t="s">
        <v>63</v>
      </c>
      <c r="D63" s="146"/>
      <c r="E63" s="10" t="s">
        <v>51</v>
      </c>
      <c r="F63" s="19" t="s">
        <v>79</v>
      </c>
      <c r="G63" s="161"/>
      <c r="H63" s="177"/>
      <c r="J63" s="1" t="b">
        <f>EXACT(G63,'Vh5205_C-91'!G63)</f>
        <v>1</v>
      </c>
    </row>
    <row r="64" spans="1:10" s="7" customFormat="1" x14ac:dyDescent="0.35">
      <c r="A64" s="90">
        <v>61</v>
      </c>
      <c r="B64" s="10" t="s">
        <v>693</v>
      </c>
      <c r="C64" s="10" t="s">
        <v>126</v>
      </c>
      <c r="D64" s="146"/>
      <c r="E64" s="10"/>
      <c r="F64" s="19" t="s">
        <v>79</v>
      </c>
      <c r="G64" s="161"/>
      <c r="H64" s="177"/>
      <c r="J64" s="1" t="b">
        <f>EXACT(G64,'Vh5205_C-91'!G64)</f>
        <v>1</v>
      </c>
    </row>
    <row r="65" spans="1:10" s="7" customFormat="1" x14ac:dyDescent="0.35">
      <c r="A65" s="90">
        <v>62</v>
      </c>
      <c r="B65" s="10" t="s">
        <v>693</v>
      </c>
      <c r="C65" s="10" t="s">
        <v>52</v>
      </c>
      <c r="D65" s="146"/>
      <c r="E65" s="10"/>
      <c r="F65" s="19" t="s">
        <v>79</v>
      </c>
      <c r="G65" s="161"/>
      <c r="H65" s="177"/>
      <c r="J65" s="1" t="b">
        <f>EXACT(G65,'Vh5205_C-91'!G65)</f>
        <v>1</v>
      </c>
    </row>
    <row r="66" spans="1:10" s="7" customFormat="1" x14ac:dyDescent="0.35">
      <c r="A66" s="90">
        <v>63</v>
      </c>
      <c r="B66" s="10" t="s">
        <v>693</v>
      </c>
      <c r="C66" s="10" t="s">
        <v>189</v>
      </c>
      <c r="D66" s="146"/>
      <c r="E66" s="10"/>
      <c r="F66" s="19" t="s">
        <v>79</v>
      </c>
      <c r="G66" s="161" t="s">
        <v>682</v>
      </c>
      <c r="H66" s="177" t="s">
        <v>652</v>
      </c>
      <c r="J66" s="176" t="b">
        <f>EXACT(G66,'Vh5205_C-91'!G66)</f>
        <v>1</v>
      </c>
    </row>
    <row r="67" spans="1:10" s="7" customFormat="1" x14ac:dyDescent="0.35">
      <c r="A67" s="90">
        <v>64</v>
      </c>
      <c r="B67" s="10" t="s">
        <v>693</v>
      </c>
      <c r="C67" s="10" t="s">
        <v>190</v>
      </c>
      <c r="D67" s="146"/>
      <c r="E67" s="10"/>
      <c r="F67" s="19" t="s">
        <v>79</v>
      </c>
      <c r="G67" s="192"/>
      <c r="H67" s="177"/>
      <c r="J67" s="1" t="b">
        <f>EXACT(G67,'Vh5205_C-91'!G67)</f>
        <v>1</v>
      </c>
    </row>
    <row r="68" spans="1:10" s="7" customFormat="1" x14ac:dyDescent="0.35">
      <c r="A68" s="90">
        <v>65</v>
      </c>
      <c r="B68" s="10" t="s">
        <v>693</v>
      </c>
      <c r="C68" s="10" t="s">
        <v>382</v>
      </c>
      <c r="D68" s="146"/>
      <c r="E68" s="10"/>
      <c r="F68" s="19" t="s">
        <v>79</v>
      </c>
      <c r="G68" s="161" t="s">
        <v>620</v>
      </c>
      <c r="H68" s="177" t="s">
        <v>652</v>
      </c>
      <c r="J68" s="176" t="b">
        <f>EXACT(G68,'Vh5205_C-91'!G68)</f>
        <v>1</v>
      </c>
    </row>
    <row r="69" spans="1:10" s="7" customFormat="1" ht="31" x14ac:dyDescent="0.35">
      <c r="A69" s="90">
        <v>66</v>
      </c>
      <c r="B69" s="10" t="s">
        <v>693</v>
      </c>
      <c r="C69" s="10" t="s">
        <v>419</v>
      </c>
      <c r="D69" s="146"/>
      <c r="E69" s="10" t="s">
        <v>480</v>
      </c>
      <c r="F69" s="19" t="s">
        <v>26</v>
      </c>
      <c r="G69" s="161" t="s">
        <v>650</v>
      </c>
      <c r="H69" s="177" t="s">
        <v>652</v>
      </c>
      <c r="J69" s="176" t="b">
        <f>EXACT(G69,'Vh5205_C-91'!G69)</f>
        <v>1</v>
      </c>
    </row>
    <row r="70" spans="1:10" s="7" customFormat="1" ht="31" x14ac:dyDescent="0.35">
      <c r="A70" s="90">
        <v>67</v>
      </c>
      <c r="B70" s="104" t="s">
        <v>693</v>
      </c>
      <c r="C70" s="104" t="s">
        <v>420</v>
      </c>
      <c r="D70" s="104"/>
      <c r="E70" s="104"/>
      <c r="F70" s="19" t="s">
        <v>26</v>
      </c>
      <c r="G70" s="161" t="s">
        <v>717</v>
      </c>
      <c r="H70" s="177" t="s">
        <v>652</v>
      </c>
      <c r="J70" s="176" t="b">
        <f>EXACT(G70,'Vh5205_C-91'!G70)</f>
        <v>1</v>
      </c>
    </row>
    <row r="71" spans="1:10" s="7" customFormat="1" x14ac:dyDescent="0.35">
      <c r="A71" s="90">
        <v>68</v>
      </c>
      <c r="B71" s="104" t="s">
        <v>693</v>
      </c>
      <c r="C71" s="104" t="s">
        <v>421</v>
      </c>
      <c r="D71" s="107"/>
      <c r="E71" s="107"/>
      <c r="F71" s="22" t="s">
        <v>79</v>
      </c>
      <c r="G71" s="196"/>
      <c r="H71" s="180"/>
      <c r="J71" s="1" t="b">
        <f>EXACT(G71,'Vh5205_C-91'!G71)</f>
        <v>1</v>
      </c>
    </row>
    <row r="72" spans="1:10" s="7" customFormat="1" x14ac:dyDescent="0.35">
      <c r="A72" s="90">
        <v>69</v>
      </c>
      <c r="B72" s="102" t="s">
        <v>694</v>
      </c>
      <c r="C72" s="102" t="s">
        <v>422</v>
      </c>
      <c r="D72" s="10"/>
      <c r="E72" s="10"/>
      <c r="F72" s="19" t="s">
        <v>79</v>
      </c>
      <c r="G72" s="161"/>
      <c r="H72" s="177"/>
      <c r="J72" s="1" t="b">
        <f>EXACT(G72,'Vh5205_C-91'!G72)</f>
        <v>1</v>
      </c>
    </row>
    <row r="73" spans="1:10" s="7" customFormat="1" x14ac:dyDescent="0.35">
      <c r="A73" s="90">
        <v>70</v>
      </c>
      <c r="B73" s="13" t="s">
        <v>694</v>
      </c>
      <c r="C73" s="13" t="s">
        <v>102</v>
      </c>
      <c r="D73" s="87"/>
      <c r="E73" s="13"/>
      <c r="F73" s="22" t="s">
        <v>79</v>
      </c>
      <c r="G73" s="196"/>
      <c r="H73" s="180"/>
      <c r="J73" s="1" t="b">
        <f>EXACT(G73,'Vh5205_C-91'!G73)</f>
        <v>1</v>
      </c>
    </row>
    <row r="74" spans="1:10" s="7" customFormat="1" x14ac:dyDescent="0.35">
      <c r="A74" s="90">
        <v>71</v>
      </c>
      <c r="B74" s="10" t="s">
        <v>695</v>
      </c>
      <c r="C74" s="10" t="s">
        <v>127</v>
      </c>
      <c r="D74" s="146"/>
      <c r="E74" s="10" t="s">
        <v>4</v>
      </c>
      <c r="F74" s="19" t="s">
        <v>79</v>
      </c>
      <c r="G74" s="161"/>
      <c r="H74" s="177"/>
      <c r="J74" s="1" t="b">
        <f>EXACT(G74,'Vh5205_C-91'!G74)</f>
        <v>1</v>
      </c>
    </row>
    <row r="75" spans="1:10" s="7" customFormat="1" x14ac:dyDescent="0.35">
      <c r="A75" s="90">
        <v>72</v>
      </c>
      <c r="B75" s="10" t="s">
        <v>695</v>
      </c>
      <c r="C75" s="10" t="s">
        <v>298</v>
      </c>
      <c r="D75" s="146"/>
      <c r="E75" s="10" t="s">
        <v>4</v>
      </c>
      <c r="F75" s="19" t="s">
        <v>79</v>
      </c>
      <c r="G75" s="192" t="s">
        <v>655</v>
      </c>
      <c r="H75" s="177" t="s">
        <v>652</v>
      </c>
      <c r="J75" s="176" t="b">
        <f>EXACT(G75,'Vh5205_C-91'!G75)</f>
        <v>1</v>
      </c>
    </row>
    <row r="76" spans="1:10" s="7" customFormat="1" x14ac:dyDescent="0.35">
      <c r="A76" s="90">
        <v>73</v>
      </c>
      <c r="B76" s="10" t="s">
        <v>695</v>
      </c>
      <c r="C76" s="10" t="s">
        <v>115</v>
      </c>
      <c r="D76" s="146"/>
      <c r="E76" s="10"/>
      <c r="F76" s="22" t="s">
        <v>79</v>
      </c>
      <c r="G76" s="196"/>
      <c r="H76" s="180"/>
      <c r="J76" s="1" t="b">
        <f>EXACT(G76,'Vh5205_C-91'!G76)</f>
        <v>1</v>
      </c>
    </row>
    <row r="77" spans="1:10" x14ac:dyDescent="0.35">
      <c r="A77" s="90">
        <v>74</v>
      </c>
      <c r="B77" s="100" t="s">
        <v>696</v>
      </c>
      <c r="C77" s="100" t="s">
        <v>43</v>
      </c>
      <c r="D77" s="100"/>
      <c r="E77" s="100"/>
      <c r="F77" s="19" t="s">
        <v>79</v>
      </c>
      <c r="G77" s="161" t="s">
        <v>514</v>
      </c>
      <c r="H77" s="140"/>
      <c r="J77" s="1" t="b">
        <f>EXACT(G77,'Vh5205_C-91'!G77)</f>
        <v>0</v>
      </c>
    </row>
    <row r="78" spans="1:10" x14ac:dyDescent="0.35">
      <c r="A78" s="90">
        <v>75</v>
      </c>
      <c r="B78" s="146" t="s">
        <v>696</v>
      </c>
      <c r="C78" s="146" t="s">
        <v>114</v>
      </c>
      <c r="D78" s="146"/>
      <c r="E78" s="146"/>
      <c r="F78" s="19" t="s">
        <v>79</v>
      </c>
      <c r="G78" s="161"/>
      <c r="H78" s="140"/>
      <c r="J78" s="1" t="b">
        <f>EXACT(G78,'Vh5205_C-91'!G78)</f>
        <v>1</v>
      </c>
    </row>
    <row r="79" spans="1:10" x14ac:dyDescent="0.35">
      <c r="A79" s="90">
        <v>76</v>
      </c>
      <c r="B79" s="10" t="s">
        <v>696</v>
      </c>
      <c r="C79" s="10" t="s">
        <v>338</v>
      </c>
      <c r="D79" s="146"/>
      <c r="E79" s="146"/>
      <c r="F79" s="19" t="s">
        <v>79</v>
      </c>
      <c r="G79" s="192" t="s">
        <v>615</v>
      </c>
      <c r="H79" s="140" t="s">
        <v>652</v>
      </c>
      <c r="J79" s="176" t="b">
        <f>EXACT(G79,'Vh5205_C-91'!G79)</f>
        <v>1</v>
      </c>
    </row>
    <row r="80" spans="1:10" x14ac:dyDescent="0.35">
      <c r="A80" s="90">
        <v>77</v>
      </c>
      <c r="B80" s="10" t="s">
        <v>696</v>
      </c>
      <c r="C80" s="10" t="s">
        <v>150</v>
      </c>
      <c r="D80" s="146"/>
      <c r="E80" s="146"/>
      <c r="F80" s="19" t="s">
        <v>26</v>
      </c>
      <c r="G80" s="192" t="s">
        <v>612</v>
      </c>
      <c r="H80" s="140" t="s">
        <v>652</v>
      </c>
      <c r="J80" s="176" t="b">
        <f>EXACT(G80,'Vh5205_C-91'!G80)</f>
        <v>1</v>
      </c>
    </row>
    <row r="81" spans="1:10" x14ac:dyDescent="0.35">
      <c r="A81" s="90">
        <v>78</v>
      </c>
      <c r="B81" s="10" t="s">
        <v>696</v>
      </c>
      <c r="C81" s="10" t="s">
        <v>152</v>
      </c>
      <c r="D81" s="146"/>
      <c r="E81" s="146"/>
      <c r="F81" s="19" t="s">
        <v>26</v>
      </c>
      <c r="G81" s="192" t="s">
        <v>267</v>
      </c>
      <c r="H81" s="140" t="s">
        <v>652</v>
      </c>
      <c r="J81" s="176" t="b">
        <f>EXACT(G81,'Vh5205_C-91'!G81)</f>
        <v>1</v>
      </c>
    </row>
    <row r="82" spans="1:10" x14ac:dyDescent="0.35">
      <c r="A82" s="90">
        <v>79</v>
      </c>
      <c r="B82" s="10" t="s">
        <v>696</v>
      </c>
      <c r="C82" s="10" t="s">
        <v>153</v>
      </c>
      <c r="D82" s="146"/>
      <c r="E82" s="146"/>
      <c r="F82" s="19" t="s">
        <v>26</v>
      </c>
      <c r="G82" s="192" t="s">
        <v>268</v>
      </c>
      <c r="H82" s="140" t="s">
        <v>652</v>
      </c>
      <c r="J82" s="176" t="b">
        <f>EXACT(G82,'Vh5205_C-91'!G82)</f>
        <v>1</v>
      </c>
    </row>
    <row r="83" spans="1:10" ht="31" x14ac:dyDescent="0.35">
      <c r="A83" s="90">
        <v>80</v>
      </c>
      <c r="B83" s="10" t="s">
        <v>696</v>
      </c>
      <c r="C83" s="10" t="s">
        <v>9</v>
      </c>
      <c r="D83" s="146"/>
      <c r="E83" s="146"/>
      <c r="F83" s="19" t="s">
        <v>26</v>
      </c>
      <c r="G83" s="161" t="s">
        <v>715</v>
      </c>
      <c r="H83" s="140" t="s">
        <v>652</v>
      </c>
      <c r="J83" s="176" t="b">
        <f>EXACT(G83,'Vh5205_C-91'!G83)</f>
        <v>1</v>
      </c>
    </row>
    <row r="84" spans="1:10" x14ac:dyDescent="0.35">
      <c r="A84" s="90">
        <v>81</v>
      </c>
      <c r="B84" s="10" t="s">
        <v>696</v>
      </c>
      <c r="C84" s="10" t="s">
        <v>339</v>
      </c>
      <c r="D84" s="146"/>
      <c r="E84" s="146"/>
      <c r="F84" s="19" t="s">
        <v>26</v>
      </c>
      <c r="G84" s="161" t="s">
        <v>718</v>
      </c>
      <c r="H84" s="140" t="s">
        <v>652</v>
      </c>
      <c r="J84" s="176" t="b">
        <f>EXACT(G84,'Vh5205_C-91'!G84)</f>
        <v>1</v>
      </c>
    </row>
    <row r="85" spans="1:10" ht="31" x14ac:dyDescent="0.35">
      <c r="A85" s="90">
        <v>82</v>
      </c>
      <c r="B85" s="10" t="s">
        <v>696</v>
      </c>
      <c r="C85" s="10" t="s">
        <v>573</v>
      </c>
      <c r="D85" s="146"/>
      <c r="E85" s="146"/>
      <c r="F85" s="19" t="s">
        <v>26</v>
      </c>
      <c r="G85" s="161" t="s">
        <v>537</v>
      </c>
      <c r="H85" s="140" t="s">
        <v>652</v>
      </c>
      <c r="J85" s="176" t="b">
        <f>EXACT(G85,'Vh5205_C-91'!G85)</f>
        <v>1</v>
      </c>
    </row>
    <row r="86" spans="1:10" s="7" customFormat="1" ht="46.5" x14ac:dyDescent="0.35">
      <c r="A86" s="90">
        <v>83</v>
      </c>
      <c r="B86" s="13" t="s">
        <v>696</v>
      </c>
      <c r="C86" s="13" t="s">
        <v>133</v>
      </c>
      <c r="D86" s="87"/>
      <c r="E86" s="87" t="s">
        <v>51</v>
      </c>
      <c r="F86" s="22" t="s">
        <v>79</v>
      </c>
      <c r="G86" s="196" t="s">
        <v>651</v>
      </c>
      <c r="H86" s="182" t="s">
        <v>652</v>
      </c>
      <c r="J86" s="176" t="b">
        <f>EXACT(G86,'Vh5205_C-91'!G86)</f>
        <v>1</v>
      </c>
    </row>
    <row r="87" spans="1:10" x14ac:dyDescent="0.35">
      <c r="A87" s="90">
        <v>84</v>
      </c>
      <c r="B87" s="146" t="s">
        <v>697</v>
      </c>
      <c r="C87" s="146" t="s">
        <v>299</v>
      </c>
      <c r="D87" s="94"/>
      <c r="E87" s="146"/>
      <c r="F87" s="19" t="s">
        <v>79</v>
      </c>
      <c r="G87" s="204" t="s">
        <v>502</v>
      </c>
      <c r="H87" s="140" t="s">
        <v>652</v>
      </c>
      <c r="J87" s="176" t="b">
        <f>EXACT(G87,'Vh5205_C-91'!G87)</f>
        <v>1</v>
      </c>
    </row>
    <row r="88" spans="1:10" x14ac:dyDescent="0.35">
      <c r="A88" s="90">
        <v>85</v>
      </c>
      <c r="B88" s="10" t="s">
        <v>697</v>
      </c>
      <c r="C88" s="10" t="s">
        <v>300</v>
      </c>
      <c r="D88" s="94"/>
      <c r="E88" s="146"/>
      <c r="F88" s="19" t="s">
        <v>79</v>
      </c>
      <c r="G88" s="192" t="s">
        <v>617</v>
      </c>
      <c r="H88" s="140" t="s">
        <v>652</v>
      </c>
      <c r="J88" s="176" t="b">
        <f>EXACT(G88,'Vh5205_C-91'!G88)</f>
        <v>1</v>
      </c>
    </row>
    <row r="89" spans="1:10" x14ac:dyDescent="0.35">
      <c r="A89" s="90">
        <v>86</v>
      </c>
      <c r="B89" s="10" t="s">
        <v>697</v>
      </c>
      <c r="C89" s="10" t="s">
        <v>156</v>
      </c>
      <c r="D89" s="146"/>
      <c r="E89" s="146" t="s">
        <v>0</v>
      </c>
      <c r="F89" s="19" t="s">
        <v>79</v>
      </c>
      <c r="G89" s="192">
        <v>1</v>
      </c>
      <c r="H89" s="140" t="s">
        <v>652</v>
      </c>
      <c r="J89" s="176" t="b">
        <f>EXACT(G89,'Vh5205_C-91'!G89)</f>
        <v>1</v>
      </c>
    </row>
    <row r="90" spans="1:10" x14ac:dyDescent="0.35">
      <c r="A90" s="90">
        <v>87</v>
      </c>
      <c r="B90" s="10" t="s">
        <v>697</v>
      </c>
      <c r="C90" s="10" t="s">
        <v>132</v>
      </c>
      <c r="D90" s="146"/>
      <c r="E90" s="146" t="s">
        <v>0</v>
      </c>
      <c r="F90" s="19" t="s">
        <v>79</v>
      </c>
      <c r="G90" s="192">
        <v>20</v>
      </c>
      <c r="H90" s="140" t="s">
        <v>652</v>
      </c>
      <c r="J90" s="176" t="b">
        <f>EXACT(G90,'Vh5205_C-91'!G90)</f>
        <v>1</v>
      </c>
    </row>
    <row r="91" spans="1:10" s="7" customFormat="1" x14ac:dyDescent="0.35">
      <c r="A91" s="90">
        <v>88</v>
      </c>
      <c r="B91" s="10" t="s">
        <v>697</v>
      </c>
      <c r="C91" s="10" t="s">
        <v>343</v>
      </c>
      <c r="D91" s="146"/>
      <c r="E91" s="146"/>
      <c r="F91" s="20" t="s">
        <v>26</v>
      </c>
      <c r="G91" s="161" t="s">
        <v>625</v>
      </c>
      <c r="H91" s="140" t="s">
        <v>652</v>
      </c>
      <c r="J91" s="176" t="b">
        <f>EXACT(G91,'Vh5205_C-91'!G91)</f>
        <v>1</v>
      </c>
    </row>
    <row r="92" spans="1:10" s="7" customFormat="1" ht="31" x14ac:dyDescent="0.35">
      <c r="A92" s="90">
        <v>89</v>
      </c>
      <c r="B92" s="10" t="s">
        <v>697</v>
      </c>
      <c r="C92" s="10" t="s">
        <v>425</v>
      </c>
      <c r="D92" s="146"/>
      <c r="E92" s="146"/>
      <c r="F92" s="20" t="s">
        <v>26</v>
      </c>
      <c r="G92" s="161" t="s">
        <v>621</v>
      </c>
      <c r="H92" s="140" t="s">
        <v>652</v>
      </c>
      <c r="J92" s="176" t="b">
        <f>EXACT(G92,'Vh5205_C-91'!G92)</f>
        <v>1</v>
      </c>
    </row>
    <row r="93" spans="1:10" ht="31" x14ac:dyDescent="0.35">
      <c r="A93" s="90">
        <v>90</v>
      </c>
      <c r="B93" s="87" t="s">
        <v>697</v>
      </c>
      <c r="C93" s="87" t="s">
        <v>157</v>
      </c>
      <c r="D93" s="87"/>
      <c r="E93" s="87"/>
      <c r="F93" s="21" t="s">
        <v>26</v>
      </c>
      <c r="G93" s="196" t="s">
        <v>719</v>
      </c>
      <c r="H93" s="182" t="s">
        <v>652</v>
      </c>
      <c r="J93" s="176" t="b">
        <f>EXACT(G93,'Vh5205_C-91'!G93)</f>
        <v>1</v>
      </c>
    </row>
    <row r="94" spans="1:10" s="7" customFormat="1" x14ac:dyDescent="0.35">
      <c r="A94" s="90">
        <v>91</v>
      </c>
      <c r="B94" s="10" t="s">
        <v>698</v>
      </c>
      <c r="C94" s="10" t="s">
        <v>159</v>
      </c>
      <c r="D94" s="146"/>
      <c r="E94" s="146"/>
      <c r="F94" s="19" t="s">
        <v>79</v>
      </c>
      <c r="G94" s="197" t="s">
        <v>385</v>
      </c>
      <c r="H94" s="140" t="s">
        <v>652</v>
      </c>
      <c r="J94" s="176" t="b">
        <f>EXACT(G94,'Vh5205_C-91'!G94)</f>
        <v>1</v>
      </c>
    </row>
    <row r="95" spans="1:10" s="7" customFormat="1" x14ac:dyDescent="0.35">
      <c r="A95" s="90">
        <v>92</v>
      </c>
      <c r="B95" s="146" t="s">
        <v>698</v>
      </c>
      <c r="C95" s="146" t="s">
        <v>426</v>
      </c>
      <c r="D95" s="146"/>
      <c r="E95" s="146"/>
      <c r="F95" s="19" t="s">
        <v>79</v>
      </c>
      <c r="G95" s="205" t="s">
        <v>391</v>
      </c>
      <c r="H95" s="140" t="s">
        <v>652</v>
      </c>
      <c r="J95" s="176" t="b">
        <f>EXACT(G95,'Vh5205_C-91'!G95)</f>
        <v>1</v>
      </c>
    </row>
    <row r="96" spans="1:10" s="7" customFormat="1" x14ac:dyDescent="0.35">
      <c r="A96" s="90">
        <v>93</v>
      </c>
      <c r="B96" s="146" t="s">
        <v>698</v>
      </c>
      <c r="C96" s="146" t="s">
        <v>386</v>
      </c>
      <c r="D96" s="146"/>
      <c r="E96" s="146"/>
      <c r="F96" s="19" t="s">
        <v>26</v>
      </c>
      <c r="G96" s="198" t="s">
        <v>387</v>
      </c>
      <c r="H96" s="140" t="s">
        <v>652</v>
      </c>
      <c r="J96" s="176" t="b">
        <f>EXACT(G96,'Vh5205_C-91'!G96)</f>
        <v>1</v>
      </c>
    </row>
    <row r="97" spans="1:10" s="7" customFormat="1" x14ac:dyDescent="0.35">
      <c r="A97" s="90">
        <v>94</v>
      </c>
      <c r="B97" s="146" t="s">
        <v>698</v>
      </c>
      <c r="C97" s="146" t="s">
        <v>105</v>
      </c>
      <c r="D97" s="146"/>
      <c r="E97" s="146"/>
      <c r="F97" s="19" t="s">
        <v>26</v>
      </c>
      <c r="G97" s="161" t="s">
        <v>656</v>
      </c>
      <c r="H97" s="140" t="s">
        <v>652</v>
      </c>
      <c r="J97" s="176" t="b">
        <f>EXACT(G97,'Vh5205_C-91'!G97)</f>
        <v>1</v>
      </c>
    </row>
    <row r="98" spans="1:10" s="7" customFormat="1" x14ac:dyDescent="0.35">
      <c r="A98" s="90">
        <v>95</v>
      </c>
      <c r="B98" s="87" t="s">
        <v>698</v>
      </c>
      <c r="C98" s="87" t="s">
        <v>160</v>
      </c>
      <c r="D98" s="87"/>
      <c r="E98" s="87"/>
      <c r="F98" s="22" t="s">
        <v>79</v>
      </c>
      <c r="G98" s="194" t="s">
        <v>196</v>
      </c>
      <c r="H98" s="182" t="s">
        <v>652</v>
      </c>
      <c r="J98" s="176" t="b">
        <f>EXACT(G98,'Vh5205_C-91'!G98)</f>
        <v>1</v>
      </c>
    </row>
    <row r="99" spans="1:10" x14ac:dyDescent="0.35">
      <c r="A99" s="90">
        <v>96</v>
      </c>
      <c r="B99" s="10" t="s">
        <v>699</v>
      </c>
      <c r="C99" s="10" t="s">
        <v>428</v>
      </c>
      <c r="D99" s="146"/>
      <c r="E99" s="146"/>
      <c r="F99" s="20" t="s">
        <v>26</v>
      </c>
      <c r="G99" s="206" t="s">
        <v>196</v>
      </c>
      <c r="H99" s="140" t="s">
        <v>652</v>
      </c>
      <c r="J99" s="176" t="b">
        <f>EXACT(G99,'Vh5205_C-91'!G99)</f>
        <v>1</v>
      </c>
    </row>
    <row r="100" spans="1:10" x14ac:dyDescent="0.35">
      <c r="A100" s="90">
        <v>97</v>
      </c>
      <c r="B100" s="104" t="s">
        <v>699</v>
      </c>
      <c r="C100" s="104" t="s">
        <v>161</v>
      </c>
      <c r="D100" s="104"/>
      <c r="E100" s="104"/>
      <c r="F100" s="20" t="s">
        <v>79</v>
      </c>
      <c r="G100" s="192"/>
      <c r="H100" s="140"/>
      <c r="J100" s="1" t="b">
        <f>EXACT(G100,'Vh5205_C-91'!G100)</f>
        <v>1</v>
      </c>
    </row>
    <row r="101" spans="1:10" x14ac:dyDescent="0.35">
      <c r="A101" s="90">
        <v>98</v>
      </c>
      <c r="B101" s="104" t="s">
        <v>699</v>
      </c>
      <c r="C101" s="104" t="s">
        <v>272</v>
      </c>
      <c r="D101" s="104"/>
      <c r="E101" s="104"/>
      <c r="F101" s="20" t="s">
        <v>26</v>
      </c>
      <c r="G101" s="207">
        <v>44778</v>
      </c>
      <c r="H101" s="140" t="s">
        <v>652</v>
      </c>
      <c r="J101" s="176" t="b">
        <f>EXACT(G101,'Vh5205_C-91'!G101)</f>
        <v>1</v>
      </c>
    </row>
    <row r="102" spans="1:10" x14ac:dyDescent="0.35">
      <c r="A102" s="90">
        <v>99</v>
      </c>
      <c r="B102" s="104" t="s">
        <v>699</v>
      </c>
      <c r="C102" s="104" t="s">
        <v>271</v>
      </c>
      <c r="D102" s="104"/>
      <c r="E102" s="104"/>
      <c r="F102" s="20" t="s">
        <v>26</v>
      </c>
      <c r="G102" s="161" t="s">
        <v>503</v>
      </c>
      <c r="H102" s="140" t="s">
        <v>652</v>
      </c>
      <c r="J102" s="176" t="b">
        <f>EXACT(G102,'Vh5205_C-91'!G102)</f>
        <v>1</v>
      </c>
    </row>
    <row r="103" spans="1:10" x14ac:dyDescent="0.35">
      <c r="A103" s="90">
        <v>100</v>
      </c>
      <c r="B103" s="10" t="s">
        <v>699</v>
      </c>
      <c r="C103" s="10" t="s">
        <v>120</v>
      </c>
      <c r="D103" s="146"/>
      <c r="E103" s="146"/>
      <c r="F103" s="20" t="s">
        <v>26</v>
      </c>
      <c r="G103" s="192" t="s">
        <v>270</v>
      </c>
      <c r="H103" s="140" t="s">
        <v>652</v>
      </c>
      <c r="J103" s="176" t="b">
        <f>EXACT(G103,'Vh5205_C-91'!G103)</f>
        <v>1</v>
      </c>
    </row>
    <row r="104" spans="1:10" x14ac:dyDescent="0.35">
      <c r="A104" s="90">
        <v>101</v>
      </c>
      <c r="B104" s="10" t="s">
        <v>699</v>
      </c>
      <c r="C104" s="10" t="s">
        <v>119</v>
      </c>
      <c r="D104" s="146"/>
      <c r="E104" s="146"/>
      <c r="F104" s="20" t="s">
        <v>26</v>
      </c>
      <c r="G104" s="161">
        <v>1</v>
      </c>
      <c r="H104" s="140" t="s">
        <v>652</v>
      </c>
      <c r="J104" s="176" t="b">
        <f>EXACT(G104,'Vh5205_C-91'!G104)</f>
        <v>1</v>
      </c>
    </row>
    <row r="105" spans="1:10" x14ac:dyDescent="0.35">
      <c r="A105" s="90">
        <v>102</v>
      </c>
      <c r="B105" s="10" t="s">
        <v>699</v>
      </c>
      <c r="C105" s="10" t="s">
        <v>121</v>
      </c>
      <c r="D105" s="146"/>
      <c r="E105" s="146" t="s">
        <v>0</v>
      </c>
      <c r="F105" s="20" t="s">
        <v>26</v>
      </c>
      <c r="G105" s="161" t="s">
        <v>487</v>
      </c>
      <c r="H105" s="140" t="s">
        <v>652</v>
      </c>
      <c r="J105" s="176" t="b">
        <f>EXACT(G105,'Vh5205_C-91'!G105)</f>
        <v>1</v>
      </c>
    </row>
    <row r="106" spans="1:10" x14ac:dyDescent="0.35">
      <c r="A106" s="90">
        <v>103</v>
      </c>
      <c r="B106" s="13" t="s">
        <v>699</v>
      </c>
      <c r="C106" s="13" t="s">
        <v>430</v>
      </c>
      <c r="D106" s="87"/>
      <c r="E106" s="87"/>
      <c r="F106" s="22" t="s">
        <v>26</v>
      </c>
      <c r="G106" s="194" t="s">
        <v>196</v>
      </c>
      <c r="H106" s="182" t="s">
        <v>652</v>
      </c>
      <c r="J106" s="176" t="b">
        <f>EXACT(G106,'Vh5205_C-91'!G106)</f>
        <v>1</v>
      </c>
    </row>
    <row r="107" spans="1:10" x14ac:dyDescent="0.35">
      <c r="A107" s="90">
        <v>104</v>
      </c>
      <c r="B107" s="10" t="s">
        <v>700</v>
      </c>
      <c r="C107" s="10" t="s">
        <v>458</v>
      </c>
      <c r="D107" s="146"/>
      <c r="E107" s="146"/>
      <c r="F107" s="20" t="s">
        <v>26</v>
      </c>
      <c r="G107" s="197" t="s">
        <v>196</v>
      </c>
      <c r="H107" s="140" t="s">
        <v>652</v>
      </c>
      <c r="J107" s="176" t="b">
        <f>EXACT(G107,'Vh5205_C-91'!G107)</f>
        <v>1</v>
      </c>
    </row>
    <row r="108" spans="1:10" ht="31" x14ac:dyDescent="0.35">
      <c r="A108" s="90">
        <v>105</v>
      </c>
      <c r="B108" s="104" t="s">
        <v>700</v>
      </c>
      <c r="C108" s="104" t="s">
        <v>459</v>
      </c>
      <c r="D108" s="104"/>
      <c r="E108" s="104"/>
      <c r="F108" s="20" t="s">
        <v>26</v>
      </c>
      <c r="G108" s="161" t="s">
        <v>609</v>
      </c>
      <c r="H108" s="140" t="s">
        <v>652</v>
      </c>
      <c r="J108" s="176" t="b">
        <f>EXACT(G108,'Vh5205_C-91'!G108)</f>
        <v>1</v>
      </c>
    </row>
    <row r="109" spans="1:10" x14ac:dyDescent="0.35">
      <c r="A109" s="90">
        <v>106</v>
      </c>
      <c r="B109" s="104" t="s">
        <v>700</v>
      </c>
      <c r="C109" s="104" t="s">
        <v>161</v>
      </c>
      <c r="D109" s="104"/>
      <c r="E109" s="104"/>
      <c r="F109" s="20" t="s">
        <v>79</v>
      </c>
      <c r="G109" s="161" t="s">
        <v>539</v>
      </c>
      <c r="H109" s="140" t="s">
        <v>652</v>
      </c>
      <c r="J109" s="176" t="b">
        <f>EXACT(G109,'Vh5205_C-91'!G109)</f>
        <v>1</v>
      </c>
    </row>
    <row r="110" spans="1:10" x14ac:dyDescent="0.35">
      <c r="A110" s="90">
        <v>107</v>
      </c>
      <c r="B110" s="104" t="s">
        <v>700</v>
      </c>
      <c r="C110" s="104" t="s">
        <v>272</v>
      </c>
      <c r="D110" s="104"/>
      <c r="E110" s="104"/>
      <c r="F110" s="20" t="s">
        <v>26</v>
      </c>
      <c r="G110" s="207">
        <v>45098</v>
      </c>
      <c r="H110" s="140" t="s">
        <v>652</v>
      </c>
      <c r="J110" s="176" t="b">
        <f>EXACT(G110,'Vh5205_C-91'!G110)</f>
        <v>1</v>
      </c>
    </row>
    <row r="111" spans="1:10" x14ac:dyDescent="0.35">
      <c r="A111" s="90">
        <v>108</v>
      </c>
      <c r="B111" s="104" t="s">
        <v>700</v>
      </c>
      <c r="C111" s="104" t="s">
        <v>271</v>
      </c>
      <c r="D111" s="104"/>
      <c r="E111" s="104"/>
      <c r="F111" s="20" t="s">
        <v>26</v>
      </c>
      <c r="G111" s="192" t="s">
        <v>504</v>
      </c>
      <c r="H111" s="140" t="s">
        <v>652</v>
      </c>
      <c r="J111" s="176" t="b">
        <f>EXACT(G111,'Vh5205_C-91'!G111)</f>
        <v>1</v>
      </c>
    </row>
    <row r="112" spans="1:10" x14ac:dyDescent="0.35">
      <c r="A112" s="90">
        <v>109</v>
      </c>
      <c r="B112" s="10" t="s">
        <v>700</v>
      </c>
      <c r="C112" s="10" t="s">
        <v>120</v>
      </c>
      <c r="D112" s="146"/>
      <c r="E112" s="146"/>
      <c r="F112" s="20" t="s">
        <v>26</v>
      </c>
      <c r="G112" s="192" t="s">
        <v>524</v>
      </c>
      <c r="H112" s="140" t="s">
        <v>652</v>
      </c>
      <c r="J112" s="176" t="b">
        <f>EXACT(G112,'Vh5205_C-91'!G112)</f>
        <v>1</v>
      </c>
    </row>
    <row r="113" spans="1:10" x14ac:dyDescent="0.35">
      <c r="A113" s="90">
        <v>110</v>
      </c>
      <c r="B113" s="10" t="s">
        <v>700</v>
      </c>
      <c r="C113" s="10" t="s">
        <v>119</v>
      </c>
      <c r="D113" s="146"/>
      <c r="E113" s="146"/>
      <c r="F113" s="20" t="s">
        <v>26</v>
      </c>
      <c r="G113" s="192" t="s">
        <v>524</v>
      </c>
      <c r="H113" s="140" t="s">
        <v>652</v>
      </c>
      <c r="J113" s="176" t="b">
        <f>EXACT(G113,'Vh5205_C-91'!G113)</f>
        <v>1</v>
      </c>
    </row>
    <row r="114" spans="1:10" x14ac:dyDescent="0.35">
      <c r="A114" s="90">
        <v>111</v>
      </c>
      <c r="B114" s="13" t="s">
        <v>700</v>
      </c>
      <c r="C114" s="13" t="s">
        <v>121</v>
      </c>
      <c r="D114" s="87"/>
      <c r="E114" s="87" t="s">
        <v>0</v>
      </c>
      <c r="F114" s="21" t="s">
        <v>26</v>
      </c>
      <c r="G114" s="194" t="s">
        <v>505</v>
      </c>
      <c r="H114" s="182" t="s">
        <v>652</v>
      </c>
      <c r="J114" s="176" t="b">
        <f>EXACT(G114,'Vh5205_C-91'!G114)</f>
        <v>1</v>
      </c>
    </row>
    <row r="115" spans="1:10" x14ac:dyDescent="0.35">
      <c r="A115" s="90">
        <v>112</v>
      </c>
      <c r="B115" s="102" t="s">
        <v>701</v>
      </c>
      <c r="C115" s="102" t="s">
        <v>308</v>
      </c>
      <c r="D115" s="146"/>
      <c r="E115" s="146"/>
      <c r="F115" s="39" t="s">
        <v>26</v>
      </c>
      <c r="G115" s="197" t="s">
        <v>347</v>
      </c>
      <c r="H115" s="140" t="s">
        <v>652</v>
      </c>
      <c r="J115" s="176" t="b">
        <f>EXACT(G115,'Vh5205_C-91'!G115)</f>
        <v>1</v>
      </c>
    </row>
    <row r="116" spans="1:10" s="7" customFormat="1" x14ac:dyDescent="0.35">
      <c r="A116" s="90">
        <v>113</v>
      </c>
      <c r="B116" s="13" t="s">
        <v>701</v>
      </c>
      <c r="C116" s="13" t="s">
        <v>163</v>
      </c>
      <c r="D116" s="87"/>
      <c r="E116" s="87"/>
      <c r="F116" s="22" t="s">
        <v>26</v>
      </c>
      <c r="G116" s="194" t="s">
        <v>196</v>
      </c>
      <c r="H116" s="182" t="s">
        <v>652</v>
      </c>
      <c r="J116" s="176" t="b">
        <f>EXACT(G116,'Vh5205_C-91'!G116)</f>
        <v>1</v>
      </c>
    </row>
    <row r="117" spans="1:10" s="7" customFormat="1" x14ac:dyDescent="0.35">
      <c r="A117" s="90">
        <v>114</v>
      </c>
      <c r="B117" s="102" t="s">
        <v>702</v>
      </c>
      <c r="C117" s="102" t="s">
        <v>164</v>
      </c>
      <c r="D117" s="100"/>
      <c r="E117" s="100"/>
      <c r="F117" s="18" t="s">
        <v>26</v>
      </c>
      <c r="G117" s="206" t="s">
        <v>196</v>
      </c>
      <c r="H117" s="140" t="s">
        <v>652</v>
      </c>
      <c r="J117" s="176" t="b">
        <f>EXACT(G117,'Vh5205_C-91'!G117)</f>
        <v>1</v>
      </c>
    </row>
    <row r="118" spans="1:10" s="7" customFormat="1" x14ac:dyDescent="0.35">
      <c r="A118" s="90">
        <v>115</v>
      </c>
      <c r="B118" s="13" t="s">
        <v>702</v>
      </c>
      <c r="C118" s="13" t="s">
        <v>191</v>
      </c>
      <c r="D118" s="87"/>
      <c r="E118" s="87"/>
      <c r="F118" s="22" t="s">
        <v>79</v>
      </c>
      <c r="G118" s="194" t="s">
        <v>196</v>
      </c>
      <c r="H118" s="182" t="s">
        <v>652</v>
      </c>
      <c r="J118" s="176" t="b">
        <f>EXACT(G118,'Vh5205_C-91'!G118)</f>
        <v>1</v>
      </c>
    </row>
    <row r="119" spans="1:10" s="7" customFormat="1" x14ac:dyDescent="0.35">
      <c r="A119" s="90">
        <v>116</v>
      </c>
      <c r="B119" s="146" t="s">
        <v>703</v>
      </c>
      <c r="C119" s="146" t="s">
        <v>106</v>
      </c>
      <c r="D119" s="146"/>
      <c r="E119" s="146"/>
      <c r="F119" s="19" t="s">
        <v>26</v>
      </c>
      <c r="G119" s="197" t="s">
        <v>488</v>
      </c>
      <c r="H119" s="140" t="s">
        <v>652</v>
      </c>
      <c r="J119" s="176" t="b">
        <f>EXACT(G119,'Vh5205_C-91'!G119)</f>
        <v>1</v>
      </c>
    </row>
    <row r="120" spans="1:10" x14ac:dyDescent="0.35">
      <c r="A120" s="90">
        <v>117</v>
      </c>
      <c r="B120" s="146" t="s">
        <v>703</v>
      </c>
      <c r="C120" s="146" t="s">
        <v>434</v>
      </c>
      <c r="D120" s="5"/>
      <c r="E120" s="5"/>
      <c r="F120" s="19" t="s">
        <v>26</v>
      </c>
      <c r="G120" s="161" t="s">
        <v>506</v>
      </c>
      <c r="H120" s="140" t="s">
        <v>652</v>
      </c>
      <c r="J120" s="176" t="b">
        <f>EXACT(G120,'Vh5205_C-91'!G120)</f>
        <v>1</v>
      </c>
    </row>
    <row r="121" spans="1:10" ht="31" x14ac:dyDescent="0.35">
      <c r="A121" s="90">
        <v>118</v>
      </c>
      <c r="B121" s="87" t="s">
        <v>703</v>
      </c>
      <c r="C121" s="87" t="s">
        <v>350</v>
      </c>
      <c r="D121" s="93"/>
      <c r="E121" s="93"/>
      <c r="F121" s="22" t="s">
        <v>26</v>
      </c>
      <c r="G121" s="194" t="s">
        <v>196</v>
      </c>
      <c r="H121" s="182" t="s">
        <v>652</v>
      </c>
      <c r="J121" s="176" t="b">
        <f>EXACT(G121,'Vh5205_C-91'!G121)</f>
        <v>1</v>
      </c>
    </row>
    <row r="122" spans="1:10" x14ac:dyDescent="0.35">
      <c r="A122" s="90">
        <v>119</v>
      </c>
      <c r="B122" s="5" t="s">
        <v>704</v>
      </c>
      <c r="C122" s="5" t="s">
        <v>135</v>
      </c>
      <c r="D122" s="5"/>
      <c r="E122" s="5"/>
      <c r="F122" s="19" t="s">
        <v>26</v>
      </c>
      <c r="G122" s="206" t="s">
        <v>269</v>
      </c>
      <c r="H122" s="140" t="s">
        <v>652</v>
      </c>
      <c r="J122" s="176" t="b">
        <f>EXACT(G122,'Vh5205_C-91'!G122)</f>
        <v>1</v>
      </c>
    </row>
    <row r="123" spans="1:10" s="7" customFormat="1" ht="46.5" x14ac:dyDescent="0.35">
      <c r="A123" s="90">
        <v>120</v>
      </c>
      <c r="B123" s="146" t="s">
        <v>704</v>
      </c>
      <c r="C123" s="146" t="s">
        <v>316</v>
      </c>
      <c r="D123" s="146"/>
      <c r="E123" s="146"/>
      <c r="F123" s="19" t="s">
        <v>79</v>
      </c>
      <c r="G123" s="161" t="s">
        <v>528</v>
      </c>
      <c r="H123" s="177"/>
      <c r="J123" s="1" t="b">
        <f>EXACT(G123,'Vh5205_C-91'!G123)</f>
        <v>1</v>
      </c>
    </row>
    <row r="124" spans="1:10" x14ac:dyDescent="0.35">
      <c r="A124" s="90">
        <v>121</v>
      </c>
      <c r="B124" s="5" t="s">
        <v>704</v>
      </c>
      <c r="C124" s="5" t="s">
        <v>354</v>
      </c>
      <c r="D124" s="5"/>
      <c r="E124" s="5"/>
      <c r="F124" s="19" t="s">
        <v>26</v>
      </c>
      <c r="G124" s="161" t="s">
        <v>205</v>
      </c>
      <c r="H124" s="164" t="s">
        <v>652</v>
      </c>
      <c r="J124" s="176" t="b">
        <f>EXACT(G124,'Vh5205_C-91'!G124)</f>
        <v>1</v>
      </c>
    </row>
    <row r="125" spans="1:10" x14ac:dyDescent="0.35">
      <c r="A125" s="90">
        <v>122</v>
      </c>
      <c r="B125" s="5" t="s">
        <v>704</v>
      </c>
      <c r="C125" s="5" t="s">
        <v>139</v>
      </c>
      <c r="D125" s="5"/>
      <c r="E125" s="5" t="s">
        <v>2</v>
      </c>
      <c r="F125" s="19" t="s">
        <v>79</v>
      </c>
      <c r="G125" s="192" t="s">
        <v>489</v>
      </c>
      <c r="H125" s="164" t="s">
        <v>652</v>
      </c>
      <c r="J125" s="176" t="b">
        <f>EXACT(G125,'Vh5205_C-91'!G125)</f>
        <v>1</v>
      </c>
    </row>
    <row r="126" spans="1:10" x14ac:dyDescent="0.35">
      <c r="A126" s="90">
        <v>123</v>
      </c>
      <c r="B126" s="5" t="s">
        <v>704</v>
      </c>
      <c r="C126" s="5" t="s">
        <v>140</v>
      </c>
      <c r="D126" s="5"/>
      <c r="E126" s="5"/>
      <c r="F126" s="19" t="s">
        <v>79</v>
      </c>
      <c r="G126" s="192" t="s">
        <v>538</v>
      </c>
      <c r="H126" s="164" t="s">
        <v>652</v>
      </c>
      <c r="J126" s="176" t="b">
        <f>EXACT(G126,'Vh5205_C-91'!G126)</f>
        <v>1</v>
      </c>
    </row>
    <row r="127" spans="1:10" s="7" customFormat="1" x14ac:dyDescent="0.35">
      <c r="A127" s="90">
        <v>124</v>
      </c>
      <c r="B127" s="10" t="s">
        <v>704</v>
      </c>
      <c r="C127" s="10" t="s">
        <v>122</v>
      </c>
      <c r="D127" s="146"/>
      <c r="E127" s="146"/>
      <c r="F127" s="20" t="s">
        <v>26</v>
      </c>
      <c r="G127" s="161" t="s">
        <v>196</v>
      </c>
      <c r="H127" s="164" t="s">
        <v>652</v>
      </c>
      <c r="J127" s="176" t="b">
        <f>EXACT(G127,'Vh5205_C-91'!G127)</f>
        <v>1</v>
      </c>
    </row>
    <row r="128" spans="1:10" x14ac:dyDescent="0.35">
      <c r="A128" s="90">
        <v>125</v>
      </c>
      <c r="B128" s="5" t="s">
        <v>704</v>
      </c>
      <c r="C128" s="5" t="s">
        <v>137</v>
      </c>
      <c r="D128" s="5"/>
      <c r="E128" s="5"/>
      <c r="F128" s="19" t="s">
        <v>26</v>
      </c>
      <c r="G128" s="192" t="s">
        <v>359</v>
      </c>
      <c r="H128" s="164" t="s">
        <v>652</v>
      </c>
      <c r="J128" s="176" t="b">
        <f>EXACT(G128,'Vh5205_C-91'!G128)</f>
        <v>1</v>
      </c>
    </row>
    <row r="129" spans="1:10" s="7" customFormat="1" x14ac:dyDescent="0.35">
      <c r="A129" s="90">
        <v>126</v>
      </c>
      <c r="B129" s="146" t="s">
        <v>704</v>
      </c>
      <c r="C129" s="146" t="s">
        <v>120</v>
      </c>
      <c r="D129" s="146"/>
      <c r="E129" s="146"/>
      <c r="F129" s="20" t="s">
        <v>26</v>
      </c>
      <c r="G129" s="161" t="s">
        <v>490</v>
      </c>
      <c r="H129" s="164" t="s">
        <v>652</v>
      </c>
      <c r="J129" s="176" t="b">
        <f>EXACT(G129,'Vh5205_C-91'!G129)</f>
        <v>1</v>
      </c>
    </row>
    <row r="130" spans="1:10" s="7" customFormat="1" x14ac:dyDescent="0.35">
      <c r="A130" s="90">
        <v>127</v>
      </c>
      <c r="B130" s="104" t="s">
        <v>704</v>
      </c>
      <c r="C130" s="104" t="s">
        <v>161</v>
      </c>
      <c r="D130" s="146"/>
      <c r="E130" s="146"/>
      <c r="F130" s="20" t="s">
        <v>79</v>
      </c>
      <c r="G130" s="161" t="s">
        <v>539</v>
      </c>
      <c r="H130" s="164" t="s">
        <v>652</v>
      </c>
      <c r="J130" s="176" t="b">
        <f>EXACT(G130,'Vh5205_C-91'!G130)</f>
        <v>1</v>
      </c>
    </row>
    <row r="131" spans="1:10" s="7" customFormat="1" x14ac:dyDescent="0.35">
      <c r="A131" s="90">
        <v>128</v>
      </c>
      <c r="B131" s="104" t="s">
        <v>704</v>
      </c>
      <c r="C131" s="104" t="s">
        <v>358</v>
      </c>
      <c r="D131" s="146"/>
      <c r="E131" s="146"/>
      <c r="F131" s="20" t="s">
        <v>26</v>
      </c>
      <c r="G131" s="195">
        <v>44781</v>
      </c>
      <c r="H131" s="177"/>
      <c r="J131" s="1" t="b">
        <f>EXACT(G131,'Vh5205_C-91'!G131)</f>
        <v>1</v>
      </c>
    </row>
    <row r="132" spans="1:10" s="7" customFormat="1" x14ac:dyDescent="0.35">
      <c r="A132" s="90">
        <v>129</v>
      </c>
      <c r="B132" s="104" t="s">
        <v>704</v>
      </c>
      <c r="C132" s="104" t="s">
        <v>271</v>
      </c>
      <c r="D132" s="146"/>
      <c r="E132" s="146"/>
      <c r="F132" s="20" t="s">
        <v>26</v>
      </c>
      <c r="G132" s="161" t="s">
        <v>504</v>
      </c>
      <c r="H132" s="177" t="s">
        <v>652</v>
      </c>
      <c r="J132" s="176" t="b">
        <f>EXACT(G132,'Vh5205_C-91'!G132)</f>
        <v>1</v>
      </c>
    </row>
    <row r="133" spans="1:10" ht="46.5" x14ac:dyDescent="0.35">
      <c r="A133" s="90">
        <v>130</v>
      </c>
      <c r="B133" s="91" t="s">
        <v>704</v>
      </c>
      <c r="C133" s="91" t="s">
        <v>315</v>
      </c>
      <c r="D133" s="5"/>
      <c r="E133" s="5" t="s">
        <v>85</v>
      </c>
      <c r="F133" s="19" t="s">
        <v>79</v>
      </c>
      <c r="G133" s="198" t="s">
        <v>525</v>
      </c>
      <c r="H133" s="177" t="s">
        <v>652</v>
      </c>
      <c r="J133" s="176" t="b">
        <f>EXACT(G133,'Vh5205_C-91'!G133)</f>
        <v>1</v>
      </c>
    </row>
    <row r="134" spans="1:10" s="7" customFormat="1" x14ac:dyDescent="0.35">
      <c r="A134" s="90">
        <v>131</v>
      </c>
      <c r="B134" s="146" t="s">
        <v>704</v>
      </c>
      <c r="C134" s="146" t="s">
        <v>121</v>
      </c>
      <c r="D134" s="146"/>
      <c r="E134" s="146" t="s">
        <v>85</v>
      </c>
      <c r="F134" s="20" t="s">
        <v>26</v>
      </c>
      <c r="G134" s="161" t="s">
        <v>491</v>
      </c>
      <c r="H134" s="177" t="s">
        <v>652</v>
      </c>
      <c r="J134" s="176" t="b">
        <f>EXACT(G134,'Vh5205_C-91'!G134)</f>
        <v>1</v>
      </c>
    </row>
    <row r="135" spans="1:10" x14ac:dyDescent="0.35">
      <c r="A135" s="90">
        <v>132</v>
      </c>
      <c r="B135" s="5" t="s">
        <v>704</v>
      </c>
      <c r="C135" s="5" t="s">
        <v>165</v>
      </c>
      <c r="D135" s="5"/>
      <c r="E135" s="5"/>
      <c r="F135" s="19" t="s">
        <v>26</v>
      </c>
      <c r="G135" s="192" t="s">
        <v>540</v>
      </c>
      <c r="H135" s="177" t="s">
        <v>652</v>
      </c>
      <c r="J135" s="176" t="b">
        <f>EXACT(G135,'Vh5205_C-91'!G135)</f>
        <v>1</v>
      </c>
    </row>
    <row r="136" spans="1:10" x14ac:dyDescent="0.35">
      <c r="A136" s="90">
        <v>133</v>
      </c>
      <c r="B136" s="5" t="s">
        <v>704</v>
      </c>
      <c r="C136" s="5" t="s">
        <v>166</v>
      </c>
      <c r="D136" s="5"/>
      <c r="E136" s="5"/>
      <c r="F136" s="19" t="s">
        <v>26</v>
      </c>
      <c r="G136" s="161">
        <v>3</v>
      </c>
      <c r="H136" s="177" t="s">
        <v>652</v>
      </c>
      <c r="J136" s="176" t="b">
        <f>EXACT(G136,'Vh5205_C-91'!G136)</f>
        <v>1</v>
      </c>
    </row>
    <row r="137" spans="1:10" x14ac:dyDescent="0.35">
      <c r="A137" s="90">
        <v>134</v>
      </c>
      <c r="B137" s="5" t="s">
        <v>704</v>
      </c>
      <c r="C137" s="5" t="s">
        <v>141</v>
      </c>
      <c r="D137" s="5"/>
      <c r="E137" s="5"/>
      <c r="F137" s="19" t="s">
        <v>26</v>
      </c>
      <c r="G137" s="161" t="s">
        <v>522</v>
      </c>
      <c r="H137" s="177" t="s">
        <v>652</v>
      </c>
      <c r="J137" s="176" t="b">
        <f>EXACT(G137,'Vh5205_C-91'!G137)</f>
        <v>1</v>
      </c>
    </row>
    <row r="138" spans="1:10" s="7" customFormat="1" x14ac:dyDescent="0.35">
      <c r="A138" s="90"/>
      <c r="B138" s="114" t="s">
        <v>704</v>
      </c>
      <c r="C138" s="114"/>
      <c r="D138" s="87"/>
      <c r="E138" s="87"/>
      <c r="F138" s="21"/>
      <c r="G138" s="196"/>
      <c r="H138" s="180"/>
      <c r="J138" s="1" t="b">
        <f>EXACT(G138,'Vh5205_C-91'!G138)</f>
        <v>1</v>
      </c>
    </row>
    <row r="139" spans="1:10" s="7" customFormat="1" x14ac:dyDescent="0.35">
      <c r="A139" s="90">
        <v>135</v>
      </c>
      <c r="B139" s="10" t="s">
        <v>705</v>
      </c>
      <c r="C139" s="10" t="s">
        <v>142</v>
      </c>
      <c r="D139" s="146"/>
      <c r="E139" s="146"/>
      <c r="F139" s="20" t="s">
        <v>26</v>
      </c>
      <c r="G139" s="192" t="s">
        <v>196</v>
      </c>
      <c r="H139" s="177" t="s">
        <v>652</v>
      </c>
      <c r="J139" s="176" t="b">
        <f>EXACT(G139,'Vh5205_C-91'!G139)</f>
        <v>1</v>
      </c>
    </row>
    <row r="140" spans="1:10" x14ac:dyDescent="0.35">
      <c r="A140" s="90">
        <v>136</v>
      </c>
      <c r="B140" s="5" t="s">
        <v>705</v>
      </c>
      <c r="C140" s="5" t="s">
        <v>138</v>
      </c>
      <c r="D140" s="5"/>
      <c r="E140" s="5"/>
      <c r="F140" s="19" t="s">
        <v>79</v>
      </c>
      <c r="G140" s="161" t="s">
        <v>526</v>
      </c>
      <c r="H140" s="177" t="s">
        <v>652</v>
      </c>
      <c r="J140" s="176" t="b">
        <f>EXACT(G140,'Vh5205_C-91'!G140)</f>
        <v>1</v>
      </c>
    </row>
    <row r="141" spans="1:10" x14ac:dyDescent="0.35">
      <c r="A141" s="90">
        <v>137</v>
      </c>
      <c r="B141" s="104" t="s">
        <v>705</v>
      </c>
      <c r="C141" s="104" t="s">
        <v>161</v>
      </c>
      <c r="D141" s="104"/>
      <c r="E141" s="104"/>
      <c r="F141" s="19" t="s">
        <v>79</v>
      </c>
      <c r="G141" s="161" t="s">
        <v>539</v>
      </c>
      <c r="H141" s="177" t="s">
        <v>652</v>
      </c>
      <c r="J141" s="176" t="b">
        <f>EXACT(G141,'Vh5205_C-91'!G141)</f>
        <v>1</v>
      </c>
    </row>
    <row r="142" spans="1:10" x14ac:dyDescent="0.35">
      <c r="A142" s="90">
        <v>138</v>
      </c>
      <c r="B142" s="104" t="s">
        <v>705</v>
      </c>
      <c r="C142" s="104" t="s">
        <v>358</v>
      </c>
      <c r="D142" s="104"/>
      <c r="E142" s="104"/>
      <c r="F142" s="20" t="s">
        <v>26</v>
      </c>
      <c r="G142" s="195">
        <v>44754</v>
      </c>
      <c r="H142" s="140"/>
      <c r="J142" s="1" t="b">
        <f>EXACT(G142,'Vh5205_C-91'!G142)</f>
        <v>1</v>
      </c>
    </row>
    <row r="143" spans="1:10" x14ac:dyDescent="0.35">
      <c r="A143" s="90">
        <v>139</v>
      </c>
      <c r="B143" s="104" t="s">
        <v>705</v>
      </c>
      <c r="C143" s="104" t="s">
        <v>271</v>
      </c>
      <c r="D143" s="104"/>
      <c r="E143" s="104"/>
      <c r="F143" s="20" t="s">
        <v>26</v>
      </c>
      <c r="G143" s="161" t="s">
        <v>492</v>
      </c>
      <c r="H143" s="177" t="s">
        <v>652</v>
      </c>
      <c r="J143" s="176" t="b">
        <f>EXACT(G143,'Vh5205_C-91'!G143)</f>
        <v>1</v>
      </c>
    </row>
    <row r="144" spans="1:10" x14ac:dyDescent="0.35">
      <c r="A144" s="90">
        <v>140</v>
      </c>
      <c r="B144" s="5" t="s">
        <v>705</v>
      </c>
      <c r="C144" s="5" t="s">
        <v>137</v>
      </c>
      <c r="D144" s="5"/>
      <c r="E144" s="5"/>
      <c r="F144" s="19" t="s">
        <v>26</v>
      </c>
      <c r="G144" s="161" t="s">
        <v>493</v>
      </c>
      <c r="H144" s="177" t="s">
        <v>652</v>
      </c>
      <c r="J144" s="176" t="b">
        <f>EXACT(G144,'Vh5205_C-91'!G144)</f>
        <v>1</v>
      </c>
    </row>
    <row r="145" spans="1:10" x14ac:dyDescent="0.35">
      <c r="A145" s="90">
        <v>141</v>
      </c>
      <c r="B145" s="146" t="s">
        <v>705</v>
      </c>
      <c r="C145" s="146" t="s">
        <v>120</v>
      </c>
      <c r="D145" s="146"/>
      <c r="E145" s="146"/>
      <c r="F145" s="19" t="s">
        <v>26</v>
      </c>
      <c r="G145" s="161" t="s">
        <v>273</v>
      </c>
      <c r="H145" s="177" t="s">
        <v>652</v>
      </c>
      <c r="J145" s="176" t="b">
        <f>EXACT(G145,'Vh5205_C-91'!G145)</f>
        <v>1</v>
      </c>
    </row>
    <row r="146" spans="1:10" x14ac:dyDescent="0.35">
      <c r="A146" s="90">
        <v>142</v>
      </c>
      <c r="B146" s="91" t="s">
        <v>705</v>
      </c>
      <c r="C146" s="91" t="s">
        <v>315</v>
      </c>
      <c r="D146" s="5"/>
      <c r="E146" s="5" t="s">
        <v>85</v>
      </c>
      <c r="F146" s="19" t="s">
        <v>79</v>
      </c>
      <c r="G146" s="198" t="s">
        <v>532</v>
      </c>
      <c r="H146" s="140"/>
      <c r="J146" s="1" t="b">
        <f>EXACT(G146,'Vh5205_C-91'!G146)</f>
        <v>1</v>
      </c>
    </row>
    <row r="147" spans="1:10" x14ac:dyDescent="0.35">
      <c r="A147" s="90">
        <v>143</v>
      </c>
      <c r="B147" s="87" t="s">
        <v>705</v>
      </c>
      <c r="C147" s="87" t="s">
        <v>121</v>
      </c>
      <c r="D147" s="93"/>
      <c r="E147" s="87" t="s">
        <v>85</v>
      </c>
      <c r="F147" s="22" t="s">
        <v>26</v>
      </c>
      <c r="G147" s="196" t="s">
        <v>274</v>
      </c>
      <c r="H147" s="180" t="s">
        <v>652</v>
      </c>
      <c r="J147" s="176" t="b">
        <f>EXACT(G147,'Vh5205_C-91'!G147)</f>
        <v>1</v>
      </c>
    </row>
    <row r="148" spans="1:10" x14ac:dyDescent="0.35">
      <c r="A148" s="90">
        <v>144</v>
      </c>
      <c r="B148" s="111" t="s">
        <v>706</v>
      </c>
      <c r="C148" s="111" t="s">
        <v>287</v>
      </c>
      <c r="D148" s="111"/>
      <c r="E148" s="111"/>
      <c r="F148" s="18" t="s">
        <v>26</v>
      </c>
      <c r="G148" s="197" t="s">
        <v>281</v>
      </c>
      <c r="H148" s="177" t="s">
        <v>652</v>
      </c>
      <c r="J148" s="176" t="b">
        <f>EXACT(G148,'Vh5205_C-91'!G148)</f>
        <v>1</v>
      </c>
    </row>
    <row r="149" spans="1:10" x14ac:dyDescent="0.35">
      <c r="A149" s="90">
        <v>145</v>
      </c>
      <c r="B149" s="5" t="s">
        <v>706</v>
      </c>
      <c r="C149" s="5" t="s">
        <v>366</v>
      </c>
      <c r="D149" s="5"/>
      <c r="E149" s="5"/>
      <c r="F149" s="19" t="s">
        <v>26</v>
      </c>
      <c r="G149" s="161" t="s">
        <v>288</v>
      </c>
      <c r="H149" s="177" t="s">
        <v>652</v>
      </c>
      <c r="J149" s="176" t="b">
        <f>EXACT(G149,'Vh5205_C-91'!G149)</f>
        <v>1</v>
      </c>
    </row>
    <row r="150" spans="1:10" x14ac:dyDescent="0.35">
      <c r="A150" s="90">
        <v>146</v>
      </c>
      <c r="B150" s="93" t="s">
        <v>706</v>
      </c>
      <c r="C150" s="93" t="s">
        <v>367</v>
      </c>
      <c r="D150" s="93"/>
      <c r="E150" s="93"/>
      <c r="F150" s="22" t="s">
        <v>26</v>
      </c>
      <c r="G150" s="194" t="s">
        <v>524</v>
      </c>
      <c r="H150" s="180" t="s">
        <v>652</v>
      </c>
      <c r="J150" s="176" t="b">
        <f>EXACT(G150,'Vh5205_C-91'!G150)</f>
        <v>1</v>
      </c>
    </row>
    <row r="151" spans="1:10" s="7" customFormat="1" x14ac:dyDescent="0.35">
      <c r="A151" s="90">
        <v>147</v>
      </c>
      <c r="B151" s="100" t="s">
        <v>707</v>
      </c>
      <c r="C151" s="100" t="s">
        <v>169</v>
      </c>
      <c r="D151" s="146"/>
      <c r="E151" s="146"/>
      <c r="F151" s="19" t="s">
        <v>26</v>
      </c>
      <c r="G151" s="206" t="s">
        <v>541</v>
      </c>
      <c r="H151" s="177" t="s">
        <v>652</v>
      </c>
      <c r="J151" s="176" t="b">
        <f>EXACT(G151,'Vh5205_C-91'!G151)</f>
        <v>1</v>
      </c>
    </row>
    <row r="152" spans="1:10" s="7" customFormat="1" x14ac:dyDescent="0.35">
      <c r="A152" s="90">
        <v>148</v>
      </c>
      <c r="B152" s="146" t="s">
        <v>707</v>
      </c>
      <c r="C152" s="146" t="s">
        <v>192</v>
      </c>
      <c r="D152" s="146"/>
      <c r="E152" s="146"/>
      <c r="F152" s="19" t="s">
        <v>26</v>
      </c>
      <c r="G152" s="192" t="s">
        <v>542</v>
      </c>
      <c r="H152" s="177" t="s">
        <v>652</v>
      </c>
      <c r="J152" s="176" t="b">
        <f>EXACT(G152,'Vh5205_C-91'!G152)</f>
        <v>1</v>
      </c>
    </row>
    <row r="153" spans="1:10" s="7" customFormat="1" x14ac:dyDescent="0.35">
      <c r="A153" s="90">
        <v>149</v>
      </c>
      <c r="B153" s="146" t="s">
        <v>707</v>
      </c>
      <c r="C153" s="146" t="s">
        <v>170</v>
      </c>
      <c r="D153" s="146"/>
      <c r="E153" s="146"/>
      <c r="F153" s="19" t="s">
        <v>26</v>
      </c>
      <c r="G153" s="192" t="s">
        <v>275</v>
      </c>
      <c r="H153" s="177" t="s">
        <v>652</v>
      </c>
      <c r="J153" s="176" t="b">
        <f>EXACT(G153,'Vh5205_C-91'!G153)</f>
        <v>1</v>
      </c>
    </row>
    <row r="154" spans="1:10" s="7" customFormat="1" x14ac:dyDescent="0.35">
      <c r="A154" s="90">
        <v>150</v>
      </c>
      <c r="B154" s="146" t="s">
        <v>707</v>
      </c>
      <c r="C154" s="146" t="s">
        <v>280</v>
      </c>
      <c r="D154" s="146"/>
      <c r="E154" s="146"/>
      <c r="F154" s="19" t="s">
        <v>79</v>
      </c>
      <c r="G154" s="161" t="s">
        <v>494</v>
      </c>
      <c r="H154" s="177" t="s">
        <v>652</v>
      </c>
      <c r="J154" s="176" t="b">
        <f>EXACT(G154,'Vh5205_C-91'!G154)</f>
        <v>1</v>
      </c>
    </row>
    <row r="155" spans="1:10" s="7" customFormat="1" x14ac:dyDescent="0.35">
      <c r="A155" s="90">
        <v>151</v>
      </c>
      <c r="B155" s="146" t="s">
        <v>707</v>
      </c>
      <c r="C155" s="146" t="s">
        <v>44</v>
      </c>
      <c r="D155" s="146"/>
      <c r="E155" s="146"/>
      <c r="F155" s="19" t="s">
        <v>79</v>
      </c>
      <c r="G155" s="205" t="s">
        <v>495</v>
      </c>
      <c r="H155" s="177" t="s">
        <v>652</v>
      </c>
      <c r="J155" s="176" t="b">
        <f>EXACT(G155,'Vh5205_C-91'!G155)</f>
        <v>1</v>
      </c>
    </row>
    <row r="156" spans="1:10" s="7" customFormat="1" x14ac:dyDescent="0.35">
      <c r="A156" s="90">
        <v>152</v>
      </c>
      <c r="B156" s="10" t="s">
        <v>707</v>
      </c>
      <c r="C156" s="10" t="s">
        <v>289</v>
      </c>
      <c r="D156" s="146"/>
      <c r="E156" s="146"/>
      <c r="F156" s="20" t="s">
        <v>79</v>
      </c>
      <c r="G156" s="192" t="s">
        <v>524</v>
      </c>
      <c r="H156" s="177" t="s">
        <v>652</v>
      </c>
      <c r="J156" s="176" t="b">
        <f>EXACT(G156,'Vh5205_C-91'!G156)</f>
        <v>1</v>
      </c>
    </row>
    <row r="157" spans="1:10" s="7" customFormat="1" x14ac:dyDescent="0.35">
      <c r="A157" s="90">
        <v>153</v>
      </c>
      <c r="B157" s="146" t="s">
        <v>707</v>
      </c>
      <c r="C157" s="146" t="s">
        <v>279</v>
      </c>
      <c r="D157" s="146"/>
      <c r="E157" s="146"/>
      <c r="F157" s="19" t="s">
        <v>79</v>
      </c>
      <c r="G157" s="192" t="s">
        <v>385</v>
      </c>
      <c r="H157" s="177" t="s">
        <v>652</v>
      </c>
      <c r="J157" s="176" t="b">
        <f>EXACT(G157,'Vh5205_C-91'!G157)</f>
        <v>1</v>
      </c>
    </row>
    <row r="158" spans="1:10" s="7" customFormat="1" x14ac:dyDescent="0.35">
      <c r="A158" s="90">
        <v>154</v>
      </c>
      <c r="B158" s="10" t="s">
        <v>707</v>
      </c>
      <c r="C158" s="10" t="s">
        <v>31</v>
      </c>
      <c r="D158" s="146"/>
      <c r="E158" s="146" t="s">
        <v>194</v>
      </c>
      <c r="F158" s="19" t="s">
        <v>26</v>
      </c>
      <c r="G158" s="199" t="s">
        <v>496</v>
      </c>
      <c r="H158" s="177" t="s">
        <v>652</v>
      </c>
      <c r="J158" s="176" t="b">
        <f>EXACT(G158,'Vh5205_C-91'!G158)</f>
        <v>1</v>
      </c>
    </row>
    <row r="159" spans="1:10" s="7" customFormat="1" x14ac:dyDescent="0.35">
      <c r="A159" s="90">
        <v>155</v>
      </c>
      <c r="B159" s="10" t="s">
        <v>707</v>
      </c>
      <c r="C159" s="10" t="s">
        <v>32</v>
      </c>
      <c r="D159" s="146"/>
      <c r="E159" s="146" t="s">
        <v>586</v>
      </c>
      <c r="F159" s="19" t="s">
        <v>26</v>
      </c>
      <c r="G159" s="198" t="s">
        <v>497</v>
      </c>
      <c r="H159" s="177" t="s">
        <v>652</v>
      </c>
      <c r="J159" s="176" t="b">
        <f>EXACT(G159,'Vh5205_C-91'!G159)</f>
        <v>1</v>
      </c>
    </row>
    <row r="160" spans="1:10" s="7" customFormat="1" x14ac:dyDescent="0.35">
      <c r="A160" s="90">
        <v>156</v>
      </c>
      <c r="B160" s="10" t="s">
        <v>707</v>
      </c>
      <c r="C160" s="10" t="s">
        <v>291</v>
      </c>
      <c r="D160" s="146"/>
      <c r="E160" s="146" t="s">
        <v>2</v>
      </c>
      <c r="F160" s="19" t="s">
        <v>26</v>
      </c>
      <c r="G160" s="192">
        <v>25</v>
      </c>
      <c r="H160" s="177" t="s">
        <v>652</v>
      </c>
      <c r="J160" s="176" t="b">
        <f>EXACT(G160,'Vh5205_C-91'!G160)</f>
        <v>1</v>
      </c>
    </row>
    <row r="161" spans="1:10" s="7" customFormat="1" x14ac:dyDescent="0.35">
      <c r="A161" s="90">
        <v>157</v>
      </c>
      <c r="B161" s="146" t="s">
        <v>707</v>
      </c>
      <c r="C161" s="146" t="s">
        <v>293</v>
      </c>
      <c r="D161" s="146"/>
      <c r="E161" s="146"/>
      <c r="F161" s="20" t="s">
        <v>26</v>
      </c>
      <c r="G161" s="192" t="s">
        <v>196</v>
      </c>
      <c r="H161" s="177" t="s">
        <v>652</v>
      </c>
      <c r="J161" s="176" t="b">
        <f>EXACT(G161,'Vh5205_C-91'!G161)</f>
        <v>1</v>
      </c>
    </row>
    <row r="162" spans="1:10" s="7" customFormat="1" x14ac:dyDescent="0.35">
      <c r="A162" s="90">
        <v>158</v>
      </c>
      <c r="B162" s="104" t="s">
        <v>707</v>
      </c>
      <c r="C162" s="104" t="s">
        <v>161</v>
      </c>
      <c r="D162" s="104"/>
      <c r="E162" s="104"/>
      <c r="F162" s="20" t="s">
        <v>79</v>
      </c>
      <c r="G162" s="161" t="s">
        <v>539</v>
      </c>
      <c r="H162" s="177" t="s">
        <v>652</v>
      </c>
      <c r="J162" s="176" t="b">
        <f>EXACT(G162,'Vh5205_C-91'!G162)</f>
        <v>1</v>
      </c>
    </row>
    <row r="163" spans="1:10" x14ac:dyDescent="0.35">
      <c r="A163" s="90">
        <v>159</v>
      </c>
      <c r="B163" s="104" t="s">
        <v>707</v>
      </c>
      <c r="C163" s="104" t="s">
        <v>358</v>
      </c>
      <c r="D163" s="104"/>
      <c r="E163" s="104"/>
      <c r="F163" s="20" t="s">
        <v>26</v>
      </c>
      <c r="G163" s="195">
        <v>44735</v>
      </c>
      <c r="H163" s="140"/>
      <c r="J163" s="2" t="b">
        <f>EXACT(G163,'Vh5205_C-91'!G163)</f>
        <v>1</v>
      </c>
    </row>
    <row r="164" spans="1:10" x14ac:dyDescent="0.35">
      <c r="A164" s="90">
        <v>160</v>
      </c>
      <c r="B164" s="104" t="s">
        <v>707</v>
      </c>
      <c r="C164" s="104" t="s">
        <v>271</v>
      </c>
      <c r="D164" s="104"/>
      <c r="E164" s="104"/>
      <c r="F164" s="20" t="s">
        <v>26</v>
      </c>
      <c r="G164" s="161" t="s">
        <v>492</v>
      </c>
      <c r="H164" s="177" t="s">
        <v>652</v>
      </c>
      <c r="J164" s="176" t="b">
        <f>EXACT(G164,'Vh5205_C-91'!G164)</f>
        <v>1</v>
      </c>
    </row>
    <row r="165" spans="1:10" s="7" customFormat="1" x14ac:dyDescent="0.35">
      <c r="A165" s="90">
        <v>161</v>
      </c>
      <c r="B165" s="146" t="s">
        <v>707</v>
      </c>
      <c r="C165" s="146" t="s">
        <v>119</v>
      </c>
      <c r="D165" s="146"/>
      <c r="E165" s="146"/>
      <c r="F165" s="20" t="s">
        <v>26</v>
      </c>
      <c r="G165" s="161">
        <v>1</v>
      </c>
      <c r="H165" s="177" t="s">
        <v>652</v>
      </c>
      <c r="J165" s="176" t="b">
        <f>EXACT(G165,'Vh5205_C-91'!G165)</f>
        <v>1</v>
      </c>
    </row>
    <row r="166" spans="1:10" s="7" customFormat="1" x14ac:dyDescent="0.35">
      <c r="A166" s="90">
        <v>162</v>
      </c>
      <c r="B166" s="146" t="s">
        <v>707</v>
      </c>
      <c r="C166" s="146" t="s">
        <v>145</v>
      </c>
      <c r="D166" s="146"/>
      <c r="E166" s="10" t="s">
        <v>171</v>
      </c>
      <c r="F166" s="20" t="s">
        <v>26</v>
      </c>
      <c r="G166" s="161" t="s">
        <v>543</v>
      </c>
      <c r="H166" s="177" t="s">
        <v>652</v>
      </c>
      <c r="J166" s="176" t="b">
        <f>EXACT(G166,'Vh5205_C-91'!G166)</f>
        <v>1</v>
      </c>
    </row>
    <row r="167" spans="1:10" s="7" customFormat="1" x14ac:dyDescent="0.35">
      <c r="A167" s="90">
        <v>163</v>
      </c>
      <c r="B167" s="87" t="s">
        <v>707</v>
      </c>
      <c r="C167" s="87" t="s">
        <v>120</v>
      </c>
      <c r="D167" s="87"/>
      <c r="E167" s="87"/>
      <c r="F167" s="21" t="s">
        <v>26</v>
      </c>
      <c r="G167" s="194" t="s">
        <v>276</v>
      </c>
      <c r="H167" s="180" t="s">
        <v>652</v>
      </c>
      <c r="J167" s="176" t="b">
        <f>EXACT(G167,'Vh5205_C-91'!G167)</f>
        <v>1</v>
      </c>
    </row>
    <row r="168" spans="1:10" s="7" customFormat="1" x14ac:dyDescent="0.35">
      <c r="A168" s="90"/>
      <c r="B168" s="10" t="s">
        <v>708</v>
      </c>
      <c r="C168" s="10"/>
      <c r="D168" s="146"/>
      <c r="E168" s="146"/>
      <c r="F168" s="20"/>
      <c r="G168" s="208"/>
      <c r="H168" s="180"/>
      <c r="J168" s="1" t="b">
        <f>EXACT(G168,'Vh5205_C-91'!G168)</f>
        <v>1</v>
      </c>
    </row>
    <row r="169" spans="1:10" s="7" customFormat="1" ht="46.5" x14ac:dyDescent="0.35">
      <c r="A169" s="90">
        <v>164</v>
      </c>
      <c r="B169" s="102" t="s">
        <v>709</v>
      </c>
      <c r="C169" s="102" t="s">
        <v>588</v>
      </c>
      <c r="D169" s="100"/>
      <c r="E169" s="100"/>
      <c r="F169" s="18" t="s">
        <v>26</v>
      </c>
      <c r="G169" s="197" t="s">
        <v>657</v>
      </c>
      <c r="H169" s="177" t="s">
        <v>652</v>
      </c>
      <c r="J169" s="176" t="b">
        <f>EXACT(G169,'Vh5205_C-91'!G169)</f>
        <v>1</v>
      </c>
    </row>
    <row r="170" spans="1:10" s="7" customFormat="1" ht="31" x14ac:dyDescent="0.35">
      <c r="A170" s="90">
        <v>165</v>
      </c>
      <c r="B170" s="10" t="s">
        <v>709</v>
      </c>
      <c r="C170" s="10" t="s">
        <v>589</v>
      </c>
      <c r="D170" s="146"/>
      <c r="E170" s="146"/>
      <c r="F170" s="23" t="s">
        <v>26</v>
      </c>
      <c r="G170" s="161" t="s">
        <v>622</v>
      </c>
      <c r="H170" s="177" t="s">
        <v>652</v>
      </c>
      <c r="J170" s="176" t="b">
        <f>EXACT(G170,'Vh5205_C-91'!G170)</f>
        <v>1</v>
      </c>
    </row>
    <row r="171" spans="1:10" s="7" customFormat="1" ht="17.5" x14ac:dyDescent="0.35">
      <c r="A171" s="90">
        <v>166</v>
      </c>
      <c r="B171" s="10" t="s">
        <v>709</v>
      </c>
      <c r="C171" s="10" t="s">
        <v>498</v>
      </c>
      <c r="D171" s="146"/>
      <c r="E171" s="146"/>
      <c r="F171" s="23" t="s">
        <v>26</v>
      </c>
      <c r="G171" s="161" t="s">
        <v>658</v>
      </c>
      <c r="H171" s="177" t="s">
        <v>652</v>
      </c>
      <c r="J171" s="176" t="b">
        <f>EXACT(G171,'Vh5205_C-91'!G171)</f>
        <v>1</v>
      </c>
    </row>
    <row r="172" spans="1:10" s="7" customFormat="1" x14ac:dyDescent="0.35">
      <c r="A172" s="90">
        <v>167</v>
      </c>
      <c r="B172" s="10" t="s">
        <v>709</v>
      </c>
      <c r="C172" s="10" t="s">
        <v>313</v>
      </c>
      <c r="D172" s="146"/>
      <c r="E172" s="146"/>
      <c r="F172" s="19" t="s">
        <v>26</v>
      </c>
      <c r="G172" s="192" t="s">
        <v>48</v>
      </c>
      <c r="H172" s="177" t="s">
        <v>652</v>
      </c>
      <c r="J172" s="176" t="b">
        <f>EXACT(G172,'Vh5205_C-91'!G172)</f>
        <v>1</v>
      </c>
    </row>
    <row r="173" spans="1:10" s="7" customFormat="1" x14ac:dyDescent="0.35">
      <c r="A173" s="90">
        <v>168</v>
      </c>
      <c r="B173" s="146" t="s">
        <v>709</v>
      </c>
      <c r="C173" s="146" t="s">
        <v>306</v>
      </c>
      <c r="D173" s="146"/>
      <c r="E173" s="146"/>
      <c r="F173" s="19" t="s">
        <v>26</v>
      </c>
      <c r="G173" s="192" t="s">
        <v>524</v>
      </c>
      <c r="H173" s="177" t="s">
        <v>652</v>
      </c>
      <c r="J173" s="176" t="b">
        <f>EXACT(G173,'Vh5205_C-91'!G173)</f>
        <v>1</v>
      </c>
    </row>
    <row r="174" spans="1:10" s="7" customFormat="1" x14ac:dyDescent="0.35">
      <c r="A174" s="90">
        <v>169</v>
      </c>
      <c r="B174" s="87" t="s">
        <v>709</v>
      </c>
      <c r="C174" s="87" t="s">
        <v>307</v>
      </c>
      <c r="D174" s="87"/>
      <c r="E174" s="87"/>
      <c r="F174" s="22" t="s">
        <v>79</v>
      </c>
      <c r="G174" s="196"/>
      <c r="H174" s="180"/>
      <c r="J174" s="1" t="b">
        <f>EXACT(G174,'Vh5205_C-91'!G174)</f>
        <v>1</v>
      </c>
    </row>
    <row r="175" spans="1:10" s="7" customFormat="1" x14ac:dyDescent="0.35">
      <c r="A175" s="90">
        <v>170</v>
      </c>
      <c r="B175" s="146" t="s">
        <v>710</v>
      </c>
      <c r="C175" s="146" t="s">
        <v>10</v>
      </c>
      <c r="D175" s="146" t="s">
        <v>146</v>
      </c>
      <c r="E175" s="146" t="s">
        <v>2</v>
      </c>
      <c r="F175" s="19" t="s">
        <v>26</v>
      </c>
      <c r="G175" s="209">
        <v>5.99</v>
      </c>
      <c r="H175" s="177"/>
      <c r="J175" s="1" t="b">
        <f>EXACT(G175,'Vh5205_C-91'!G175)</f>
        <v>0</v>
      </c>
    </row>
    <row r="176" spans="1:10" s="7" customFormat="1" ht="17.5" x14ac:dyDescent="0.35">
      <c r="A176" s="90">
        <v>171</v>
      </c>
      <c r="B176" s="146" t="s">
        <v>710</v>
      </c>
      <c r="C176" s="146" t="s">
        <v>11</v>
      </c>
      <c r="D176" s="146" t="s">
        <v>591</v>
      </c>
      <c r="E176" s="146" t="s">
        <v>2</v>
      </c>
      <c r="F176" s="19" t="s">
        <v>26</v>
      </c>
      <c r="G176" s="210">
        <v>24</v>
      </c>
      <c r="H176" s="177"/>
      <c r="J176" s="1" t="b">
        <f>EXACT(G176,'Vh5205_C-91'!G176)</f>
        <v>0</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EXACT(G177,'Vh5205_C-91'!G177)</f>
        <v>1</v>
      </c>
    </row>
    <row r="178" spans="1:10" s="7" customFormat="1" x14ac:dyDescent="0.35">
      <c r="A178" s="90">
        <v>173</v>
      </c>
      <c r="B178" s="10" t="s">
        <v>710</v>
      </c>
      <c r="C178" s="10" t="s">
        <v>28</v>
      </c>
      <c r="D178" s="146" t="s">
        <v>593</v>
      </c>
      <c r="E178" s="146" t="s">
        <v>2</v>
      </c>
      <c r="F178" s="19" t="s">
        <v>26</v>
      </c>
      <c r="G178" s="211">
        <v>22.9</v>
      </c>
      <c r="H178" s="177"/>
      <c r="J178" s="1" t="b">
        <f>EXACT(G178,'Vh5205_C-91'!G178)</f>
        <v>0</v>
      </c>
    </row>
    <row r="179" spans="1:10" s="7" customFormat="1" ht="17.5" x14ac:dyDescent="0.35">
      <c r="A179" s="90">
        <v>174</v>
      </c>
      <c r="B179" s="10" t="s">
        <v>710</v>
      </c>
      <c r="C179" s="10" t="s">
        <v>29</v>
      </c>
      <c r="D179" s="10" t="s">
        <v>440</v>
      </c>
      <c r="E179" s="146" t="s">
        <v>2</v>
      </c>
      <c r="F179" s="19" t="s">
        <v>26</v>
      </c>
      <c r="G179" s="210">
        <v>24</v>
      </c>
      <c r="H179" s="177"/>
      <c r="J179" s="1" t="b">
        <f>EXACT(G179,'Vh5205_C-91'!G179)</f>
        <v>0</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EXACT(G180,'Vh5205_C-91'!G180)</f>
        <v>1</v>
      </c>
    </row>
    <row r="181" spans="1:10" s="7" customFormat="1" ht="17.5" x14ac:dyDescent="0.35">
      <c r="A181" s="90">
        <v>176</v>
      </c>
      <c r="B181" s="10" t="s">
        <v>710</v>
      </c>
      <c r="C181" s="10" t="s">
        <v>30</v>
      </c>
      <c r="D181" s="10" t="s">
        <v>443</v>
      </c>
      <c r="E181" s="146" t="s">
        <v>2</v>
      </c>
      <c r="F181" s="19" t="s">
        <v>26</v>
      </c>
      <c r="G181" s="211">
        <v>22.9</v>
      </c>
      <c r="H181" s="177"/>
      <c r="J181" s="1" t="b">
        <f>EXACT(G181,'Vh5205_C-91'!G181)</f>
        <v>0</v>
      </c>
    </row>
    <row r="182" spans="1:10" s="7" customFormat="1" x14ac:dyDescent="0.35">
      <c r="A182" s="90">
        <v>177</v>
      </c>
      <c r="B182" s="146" t="s">
        <v>710</v>
      </c>
      <c r="C182" s="146" t="s">
        <v>444</v>
      </c>
      <c r="D182" s="10" t="s">
        <v>445</v>
      </c>
      <c r="E182" s="146" t="s">
        <v>2</v>
      </c>
      <c r="F182" s="19" t="s">
        <v>26</v>
      </c>
      <c r="G182" s="211">
        <v>4</v>
      </c>
      <c r="H182" s="177"/>
      <c r="J182" s="1" t="b">
        <f>EXACT(G182,'Vh5205_C-91'!G182)</f>
        <v>1</v>
      </c>
    </row>
    <row r="183" spans="1:10" s="7" customFormat="1" ht="17.5" x14ac:dyDescent="0.35">
      <c r="A183" s="90">
        <v>178</v>
      </c>
      <c r="B183" s="146" t="s">
        <v>710</v>
      </c>
      <c r="C183" s="146" t="s">
        <v>446</v>
      </c>
      <c r="D183" s="10" t="s">
        <v>447</v>
      </c>
      <c r="E183" s="146" t="s">
        <v>2</v>
      </c>
      <c r="F183" s="19" t="s">
        <v>26</v>
      </c>
      <c r="G183" s="203">
        <v>4.51</v>
      </c>
      <c r="H183" s="177"/>
      <c r="J183" s="1" t="b">
        <f>EXACT(G183,'Vh5205_C-91'!G183)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EXACT(G184,'Vh5205_C-91'!G184)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EXACT(G185,'Vh5205_C-91'!G185)</f>
        <v>1</v>
      </c>
    </row>
    <row r="186" spans="1:10" s="7" customFormat="1" x14ac:dyDescent="0.35">
      <c r="A186" s="90">
        <v>181</v>
      </c>
      <c r="B186" s="146" t="s">
        <v>710</v>
      </c>
      <c r="C186" s="146" t="s">
        <v>452</v>
      </c>
      <c r="D186" s="10" t="s">
        <v>453</v>
      </c>
      <c r="E186" s="146" t="s">
        <v>2</v>
      </c>
      <c r="F186" s="19" t="s">
        <v>26</v>
      </c>
      <c r="G186" s="211">
        <v>3.8</v>
      </c>
      <c r="H186" s="177"/>
      <c r="J186" s="1" t="b">
        <f>EXACT(G186,'Vh5205_C-91'!G186)</f>
        <v>1</v>
      </c>
    </row>
    <row r="187" spans="1:10" s="7" customFormat="1" ht="17.5" x14ac:dyDescent="0.35">
      <c r="A187" s="90">
        <v>182</v>
      </c>
      <c r="B187" s="87" t="s">
        <v>710</v>
      </c>
      <c r="C187" s="87" t="s">
        <v>454</v>
      </c>
      <c r="D187" s="13" t="s">
        <v>455</v>
      </c>
      <c r="E187" s="87" t="s">
        <v>2</v>
      </c>
      <c r="F187" s="22" t="s">
        <v>26</v>
      </c>
      <c r="G187" s="212">
        <v>4.3099999999999996</v>
      </c>
      <c r="H187" s="180"/>
      <c r="J187" s="1" t="b">
        <f>EXACT(G187,'Vh5205_C-91'!G187)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EXACT(G188,'Vh5205_C-91'!G188)</f>
        <v>1</v>
      </c>
    </row>
    <row r="189" spans="1:10" s="7" customFormat="1" x14ac:dyDescent="0.35">
      <c r="A189" s="90">
        <v>184</v>
      </c>
      <c r="B189" s="10" t="s">
        <v>711</v>
      </c>
      <c r="C189" s="10" t="s">
        <v>47</v>
      </c>
      <c r="D189" s="106" t="s">
        <v>597</v>
      </c>
      <c r="E189" s="146" t="s">
        <v>2</v>
      </c>
      <c r="F189" s="19" t="s">
        <v>79</v>
      </c>
      <c r="G189" s="161"/>
      <c r="H189" s="177"/>
      <c r="J189" s="1" t="b">
        <f>EXACT(G189,'Vh5205_C-91'!G189)</f>
        <v>1</v>
      </c>
    </row>
    <row r="190" spans="1:10" s="7" customFormat="1" ht="17.5" x14ac:dyDescent="0.35">
      <c r="A190" s="90">
        <v>185</v>
      </c>
      <c r="B190" s="10" t="s">
        <v>711</v>
      </c>
      <c r="C190" s="10" t="s">
        <v>175</v>
      </c>
      <c r="D190" s="106" t="s">
        <v>598</v>
      </c>
      <c r="E190" s="146" t="s">
        <v>2</v>
      </c>
      <c r="F190" s="19" t="s">
        <v>79</v>
      </c>
      <c r="G190" s="161"/>
      <c r="H190" s="177"/>
      <c r="J190" s="1" t="b">
        <f>EXACT(G190,'Vh5205_C-91'!G190)</f>
        <v>1</v>
      </c>
    </row>
    <row r="191" spans="1:10" s="7" customFormat="1" x14ac:dyDescent="0.35">
      <c r="A191" s="90">
        <v>186</v>
      </c>
      <c r="B191" s="146" t="s">
        <v>711</v>
      </c>
      <c r="C191" s="146" t="s">
        <v>12</v>
      </c>
      <c r="D191" s="146"/>
      <c r="E191" s="146" t="s">
        <v>5</v>
      </c>
      <c r="F191" s="19" t="s">
        <v>26</v>
      </c>
      <c r="G191" s="161">
        <v>1.43</v>
      </c>
      <c r="H191" s="177"/>
      <c r="J191" s="1" t="b">
        <f>EXACT(G191,'Vh5205_C-91'!G191)</f>
        <v>0</v>
      </c>
    </row>
    <row r="192" spans="1:10" s="7" customFormat="1" x14ac:dyDescent="0.35">
      <c r="A192" s="90">
        <v>187</v>
      </c>
      <c r="B192" s="146" t="s">
        <v>711</v>
      </c>
      <c r="C192" s="146" t="s">
        <v>53</v>
      </c>
      <c r="D192" s="146"/>
      <c r="E192" s="146" t="s">
        <v>5</v>
      </c>
      <c r="F192" s="19" t="s">
        <v>26</v>
      </c>
      <c r="G192" s="161">
        <v>2.69</v>
      </c>
      <c r="H192" s="177"/>
      <c r="J192" s="1" t="b">
        <f>EXACT(G192,'Vh5205_C-91'!G192)</f>
        <v>0</v>
      </c>
    </row>
    <row r="193" spans="1:10" s="7" customFormat="1" x14ac:dyDescent="0.35">
      <c r="A193" s="90">
        <v>188</v>
      </c>
      <c r="B193" s="146" t="s">
        <v>711</v>
      </c>
      <c r="C193" s="146" t="s">
        <v>8</v>
      </c>
      <c r="D193" s="146" t="s">
        <v>36</v>
      </c>
      <c r="E193" s="146" t="s">
        <v>5</v>
      </c>
      <c r="F193" s="22" t="s">
        <v>26</v>
      </c>
      <c r="G193" s="213">
        <v>484</v>
      </c>
      <c r="H193" s="180"/>
      <c r="J193" s="1" t="b">
        <f>EXACT(G193,'Vh5205_C-91'!G193)</f>
        <v>0</v>
      </c>
    </row>
    <row r="194" spans="1:10" s="7" customFormat="1" ht="17.5" x14ac:dyDescent="0.35">
      <c r="A194" s="90">
        <v>189</v>
      </c>
      <c r="B194" s="100" t="s">
        <v>712</v>
      </c>
      <c r="C194" s="100" t="s">
        <v>118</v>
      </c>
      <c r="D194" s="100" t="s">
        <v>599</v>
      </c>
      <c r="E194" s="100" t="s">
        <v>5</v>
      </c>
      <c r="F194" s="19" t="s">
        <v>26</v>
      </c>
      <c r="G194" s="214">
        <v>484</v>
      </c>
      <c r="H194" s="177"/>
      <c r="J194" s="1" t="b">
        <f>EXACT(G194,'Vh5205_C-91'!G194)</f>
        <v>0</v>
      </c>
    </row>
    <row r="195" spans="1:10" s="7" customFormat="1" x14ac:dyDescent="0.35">
      <c r="A195" s="90">
        <v>190</v>
      </c>
      <c r="B195" s="10" t="s">
        <v>712</v>
      </c>
      <c r="C195" s="10" t="s">
        <v>176</v>
      </c>
      <c r="D195" s="146"/>
      <c r="E195" s="146"/>
      <c r="F195" s="19" t="s">
        <v>26</v>
      </c>
      <c r="G195" s="161" t="s">
        <v>533</v>
      </c>
      <c r="H195" s="177"/>
      <c r="J195" s="1" t="b">
        <f>EXACT(G195,'Vh5205_C-91'!G195)</f>
        <v>1</v>
      </c>
    </row>
    <row r="196" spans="1:10" s="7" customFormat="1" x14ac:dyDescent="0.35">
      <c r="A196" s="90">
        <v>191</v>
      </c>
      <c r="B196" s="13" t="s">
        <v>712</v>
      </c>
      <c r="C196" s="13" t="s">
        <v>38</v>
      </c>
      <c r="D196" s="87" t="s">
        <v>49</v>
      </c>
      <c r="E196" s="87" t="s">
        <v>2</v>
      </c>
      <c r="F196" s="22" t="s">
        <v>79</v>
      </c>
      <c r="G196" s="215">
        <v>30.2</v>
      </c>
      <c r="H196" s="180"/>
      <c r="J196" s="1" t="b">
        <f>EXACT(G196,'Vh5205_C-91'!G196)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EXACT(G197,'Vh5205_C-91'!G197)</f>
        <v>1</v>
      </c>
    </row>
    <row r="198" spans="1:10" s="7" customFormat="1" x14ac:dyDescent="0.35">
      <c r="A198" s="90">
        <v>193</v>
      </c>
      <c r="B198" s="10" t="s">
        <v>711</v>
      </c>
      <c r="C198" s="10" t="s">
        <v>193</v>
      </c>
      <c r="D198" s="5"/>
      <c r="E198" s="10" t="s">
        <v>0</v>
      </c>
      <c r="F198" s="19" t="s">
        <v>26</v>
      </c>
      <c r="G198" s="192" t="s">
        <v>659</v>
      </c>
      <c r="H198" s="177" t="s">
        <v>652</v>
      </c>
      <c r="J198" s="176" t="b">
        <f>EXACT(G198,'Vh5205_C-91'!G198)</f>
        <v>1</v>
      </c>
    </row>
    <row r="199" spans="1:10" s="7" customFormat="1" x14ac:dyDescent="0.35">
      <c r="A199" s="90">
        <v>194</v>
      </c>
      <c r="B199" s="146" t="s">
        <v>711</v>
      </c>
      <c r="C199" s="146" t="s">
        <v>13</v>
      </c>
      <c r="D199" s="146"/>
      <c r="E199" s="146" t="s">
        <v>6</v>
      </c>
      <c r="F199" s="19" t="s">
        <v>79</v>
      </c>
      <c r="G199" s="161"/>
      <c r="H199" s="177"/>
      <c r="J199" s="1" t="b">
        <f>EXACT(G199,'Vh5205_C-91'!G199)</f>
        <v>1</v>
      </c>
    </row>
    <row r="200" spans="1:10" s="7" customFormat="1" x14ac:dyDescent="0.35">
      <c r="A200" s="90">
        <v>195</v>
      </c>
      <c r="B200" s="146" t="s">
        <v>711</v>
      </c>
      <c r="C200" s="146" t="s">
        <v>14</v>
      </c>
      <c r="D200" s="146"/>
      <c r="E200" s="146" t="s">
        <v>6</v>
      </c>
      <c r="F200" s="19" t="s">
        <v>79</v>
      </c>
      <c r="G200" s="161"/>
      <c r="H200" s="177"/>
      <c r="J200" s="1" t="b">
        <f>EXACT(G200,'Vh5205_C-91'!G200)</f>
        <v>1</v>
      </c>
    </row>
    <row r="201" spans="1:10" s="7" customFormat="1" x14ac:dyDescent="0.35">
      <c r="A201" s="90">
        <v>196</v>
      </c>
      <c r="B201" s="146" t="s">
        <v>711</v>
      </c>
      <c r="C201" s="146" t="s">
        <v>19</v>
      </c>
      <c r="D201" s="146"/>
      <c r="E201" s="146" t="s">
        <v>113</v>
      </c>
      <c r="F201" s="19" t="s">
        <v>79</v>
      </c>
      <c r="G201" s="161"/>
      <c r="H201" s="177"/>
      <c r="J201" s="1" t="b">
        <f>EXACT(G201,'Vh5205_C-91'!G201)</f>
        <v>1</v>
      </c>
    </row>
    <row r="202" spans="1:10" s="7" customFormat="1" x14ac:dyDescent="0.35">
      <c r="A202" s="90">
        <v>197</v>
      </c>
      <c r="B202" s="146" t="s">
        <v>711</v>
      </c>
      <c r="C202" s="146" t="s">
        <v>20</v>
      </c>
      <c r="D202" s="146"/>
      <c r="E202" s="146" t="s">
        <v>113</v>
      </c>
      <c r="F202" s="19" t="s">
        <v>79</v>
      </c>
      <c r="G202" s="161"/>
      <c r="H202" s="177"/>
      <c r="J202" s="1" t="b">
        <f>EXACT(G202,'Vh5205_C-91'!G202)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EXACT(G203,'Vh5205_C-91'!G203)</f>
        <v>1</v>
      </c>
    </row>
    <row r="204" spans="1:10" s="7" customFormat="1" ht="17.5" x14ac:dyDescent="0.35">
      <c r="A204" s="90">
        <v>199</v>
      </c>
      <c r="B204" s="10" t="s">
        <v>713</v>
      </c>
      <c r="C204" s="10" t="s">
        <v>180</v>
      </c>
      <c r="D204" s="102" t="s">
        <v>181</v>
      </c>
      <c r="E204" s="100" t="s">
        <v>1</v>
      </c>
      <c r="F204" s="23" t="s">
        <v>26</v>
      </c>
      <c r="G204" s="161" t="s">
        <v>524</v>
      </c>
      <c r="H204" s="177"/>
      <c r="J204" s="1" t="b">
        <f>EXACT(G204,'Vh5205_C-91'!G204)</f>
        <v>1</v>
      </c>
    </row>
    <row r="205" spans="1:10" s="7" customFormat="1" x14ac:dyDescent="0.35">
      <c r="A205" s="90">
        <v>200</v>
      </c>
      <c r="B205" s="146" t="s">
        <v>713</v>
      </c>
      <c r="C205" s="146" t="s">
        <v>37</v>
      </c>
      <c r="D205" s="146" t="s">
        <v>50</v>
      </c>
      <c r="E205" s="146" t="s">
        <v>1</v>
      </c>
      <c r="F205" s="23" t="s">
        <v>26</v>
      </c>
      <c r="G205" s="216">
        <v>26</v>
      </c>
      <c r="H205" s="177"/>
      <c r="J205" s="1" t="b">
        <f>EXACT(G205,'Vh5205_C-91'!G205)</f>
        <v>0</v>
      </c>
    </row>
    <row r="206" spans="1:10" s="7" customFormat="1" ht="17.5" x14ac:dyDescent="0.35">
      <c r="A206" s="90">
        <v>201</v>
      </c>
      <c r="B206" s="87" t="s">
        <v>713</v>
      </c>
      <c r="C206" s="87" t="s">
        <v>610</v>
      </c>
      <c r="D206" s="13" t="s">
        <v>182</v>
      </c>
      <c r="E206" s="103" t="s">
        <v>1</v>
      </c>
      <c r="F206" s="24" t="s">
        <v>26</v>
      </c>
      <c r="G206" s="217">
        <v>56</v>
      </c>
      <c r="H206" s="180"/>
      <c r="J206" s="1" t="b">
        <f>EXACT(G206,'Vh5205_C-91'!G206)</f>
        <v>0</v>
      </c>
    </row>
    <row r="207" spans="1:10" s="7" customFormat="1" x14ac:dyDescent="0.35">
      <c r="A207" s="90">
        <v>202</v>
      </c>
      <c r="B207" s="5" t="s">
        <v>714</v>
      </c>
      <c r="C207" s="5" t="s">
        <v>392</v>
      </c>
      <c r="D207" s="146"/>
      <c r="E207" s="146"/>
      <c r="F207" s="23" t="s">
        <v>26</v>
      </c>
      <c r="G207" s="161" t="s">
        <v>524</v>
      </c>
      <c r="H207" s="177" t="s">
        <v>652</v>
      </c>
      <c r="J207" s="176" t="b">
        <f>EXACT(G207,'Vh5205_C-91'!G207)</f>
        <v>1</v>
      </c>
    </row>
    <row r="208" spans="1:10" s="7" customFormat="1" x14ac:dyDescent="0.35">
      <c r="A208" s="90">
        <v>203</v>
      </c>
      <c r="B208" s="146" t="s">
        <v>714</v>
      </c>
      <c r="C208" s="146" t="s">
        <v>25</v>
      </c>
      <c r="D208" s="146" t="s">
        <v>601</v>
      </c>
      <c r="E208" s="146" t="s">
        <v>1</v>
      </c>
      <c r="F208" s="19" t="s">
        <v>26</v>
      </c>
      <c r="G208" s="218">
        <v>26.7</v>
      </c>
      <c r="H208" s="177"/>
      <c r="J208" s="1" t="b">
        <f>EXACT(G208,'Vh5205_C-91'!G208)</f>
        <v>0</v>
      </c>
    </row>
    <row r="209" spans="1:10" s="7" customFormat="1" x14ac:dyDescent="0.35">
      <c r="A209" s="90">
        <v>204</v>
      </c>
      <c r="B209" s="146" t="s">
        <v>714</v>
      </c>
      <c r="C209" s="146" t="s">
        <v>33</v>
      </c>
      <c r="D209" s="146" t="s">
        <v>602</v>
      </c>
      <c r="E209" s="146" t="s">
        <v>1</v>
      </c>
      <c r="F209" s="19" t="s">
        <v>26</v>
      </c>
      <c r="G209" s="219">
        <v>0.20200000000000001</v>
      </c>
      <c r="H209" s="177"/>
      <c r="J209" s="1" t="b">
        <f>EXACT(G209,'Vh5205_C-91'!G209)</f>
        <v>0</v>
      </c>
    </row>
    <row r="210" spans="1:10" s="7" customFormat="1" ht="17.5" x14ac:dyDescent="0.35">
      <c r="A210" s="90">
        <v>205</v>
      </c>
      <c r="B210" s="146" t="s">
        <v>714</v>
      </c>
      <c r="C210" s="146" t="s">
        <v>27</v>
      </c>
      <c r="D210" s="146" t="s">
        <v>603</v>
      </c>
      <c r="E210" s="146" t="s">
        <v>1</v>
      </c>
      <c r="F210" s="19" t="s">
        <v>26</v>
      </c>
      <c r="G210" s="219">
        <v>0.20200000000000001</v>
      </c>
      <c r="H210" s="177"/>
      <c r="J210" s="1" t="b">
        <f>EXACT(G210,'Vh5205_C-91'!G210)</f>
        <v>0</v>
      </c>
    </row>
    <row r="211" spans="1:10" s="7" customFormat="1" x14ac:dyDescent="0.35">
      <c r="A211" s="90">
        <v>206</v>
      </c>
      <c r="B211" s="146" t="s">
        <v>714</v>
      </c>
      <c r="C211" s="146" t="s">
        <v>34</v>
      </c>
      <c r="D211" s="146" t="s">
        <v>604</v>
      </c>
      <c r="E211" s="146" t="s">
        <v>1</v>
      </c>
      <c r="F211" s="19" t="s">
        <v>26</v>
      </c>
      <c r="G211" s="216">
        <v>0</v>
      </c>
      <c r="H211" s="177"/>
      <c r="J211" s="1" t="b">
        <f>EXACT(G211,'Vh5205_C-91'!G211)</f>
        <v>1</v>
      </c>
    </row>
    <row r="212" spans="1:10" s="7" customFormat="1" x14ac:dyDescent="0.35">
      <c r="A212" s="90">
        <v>207</v>
      </c>
      <c r="B212" s="146" t="s">
        <v>714</v>
      </c>
      <c r="C212" s="146" t="s">
        <v>24</v>
      </c>
      <c r="D212" s="146" t="s">
        <v>605</v>
      </c>
      <c r="E212" s="146" t="s">
        <v>1</v>
      </c>
      <c r="F212" s="19" t="s">
        <v>26</v>
      </c>
      <c r="G212" s="219">
        <v>26.5</v>
      </c>
      <c r="H212" s="177"/>
      <c r="J212" s="1" t="b">
        <f>EXACT(G212,'Vh5205_C-91'!G212)</f>
        <v>0</v>
      </c>
    </row>
    <row r="213" spans="1:10" s="7" customFormat="1" ht="17.5" x14ac:dyDescent="0.35">
      <c r="A213" s="123">
        <v>208</v>
      </c>
      <c r="B213" s="87" t="s">
        <v>714</v>
      </c>
      <c r="C213" s="87" t="s">
        <v>23</v>
      </c>
      <c r="D213" s="87" t="s">
        <v>606</v>
      </c>
      <c r="E213" s="87" t="s">
        <v>1</v>
      </c>
      <c r="F213" s="22" t="s">
        <v>26</v>
      </c>
      <c r="G213" s="220">
        <v>26.5</v>
      </c>
      <c r="H213" s="180"/>
      <c r="J213" s="1" t="b">
        <f>EXACT(G213,'Vh5205_C-91'!G213)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685" priority="441" operator="equal">
      <formula>"Mandatory"</formula>
    </cfRule>
  </conditionalFormatting>
  <conditionalFormatting sqref="F4:F213">
    <cfRule type="cellIs" dxfId="684" priority="439" operator="equal">
      <formula>"Recommended"</formula>
    </cfRule>
    <cfRule type="cellIs" dxfId="683" priority="440" operator="equal">
      <formula>"Optional"</formula>
    </cfRule>
  </conditionalFormatting>
  <conditionalFormatting sqref="F4:F213">
    <cfRule type="cellIs" dxfId="682" priority="438" operator="equal">
      <formula>"Undecided"</formula>
    </cfRule>
  </conditionalFormatting>
  <conditionalFormatting sqref="G227:G232">
    <cfRule type="cellIs" dxfId="681" priority="272" operator="notEqual">
      <formula>0</formula>
    </cfRule>
  </conditionalFormatting>
  <conditionalFormatting sqref="J4:J213">
    <cfRule type="cellIs" dxfId="680" priority="90" operator="equal">
      <formula>FALSE</formula>
    </cfRule>
    <cfRule type="cellIs" dxfId="679" priority="91" operator="equal">
      <formula>"""FALSE"""</formula>
    </cfRule>
    <cfRule type="cellIs" dxfId="678" priority="92" operator="equal">
      <formula>"""FALSE"""</formula>
    </cfRule>
  </conditionalFormatting>
  <conditionalFormatting sqref="H124:H130">
    <cfRule type="cellIs" dxfId="677" priority="89" operator="equal">
      <formula>"Mandatory"</formula>
    </cfRule>
  </conditionalFormatting>
  <conditionalFormatting sqref="H124:H130">
    <cfRule type="cellIs" dxfId="676" priority="87" operator="equal">
      <formula>"Recommended"</formula>
    </cfRule>
    <cfRule type="cellIs" dxfId="675" priority="88" operator="equal">
      <formula>"Optional"</formula>
    </cfRule>
  </conditionalFormatting>
  <conditionalFormatting sqref="H124:H130">
    <cfRule type="cellIs" dxfId="674" priority="86" operator="equal">
      <formula>"Undecided"</formula>
    </cfRule>
  </conditionalFormatting>
  <conditionalFormatting sqref="G15 G177 G180 G184:G185 G188 G197:G198 G20 G44 G34:G38 G51:G53 G68 G57:G60 G83:G85 G141 G203 G212:G213 G40">
    <cfRule type="cellIs" dxfId="673" priority="85" operator="equal">
      <formula>"Mandatory"</formula>
    </cfRule>
  </conditionalFormatting>
  <conditionalFormatting sqref="G15 G177 G180 G184:G185 G188 G197:G198 G20 G44 G34:G38 G51:G53 G68 G57:G60 G83:G85 G141 G203 G212:G213 G40">
    <cfRule type="cellIs" dxfId="672" priority="83" operator="equal">
      <formula>"Not Mandatory"</formula>
    </cfRule>
    <cfRule type="cellIs" dxfId="671" priority="84" operator="equal">
      <formula>"Recommended"</formula>
    </cfRule>
  </conditionalFormatting>
  <conditionalFormatting sqref="G44 G37:G38 G52:G53 G57:G60 G85 G40">
    <cfRule type="cellIs" dxfId="670" priority="81" operator="equal">
      <formula>"Not Mandatory"</formula>
    </cfRule>
    <cfRule type="cellIs" dxfId="669" priority="82" operator="equal">
      <formula>"Recommended"</formula>
    </cfRule>
  </conditionalFormatting>
  <conditionalFormatting sqref="G44 G37:G38 G52:G53 G57:G60 G85 G40">
    <cfRule type="cellIs" dxfId="668" priority="79" operator="equal">
      <formula>"Not Mandatory"</formula>
    </cfRule>
    <cfRule type="cellIs" dxfId="667" priority="80" operator="equal">
      <formula>"Recommended"</formula>
    </cfRule>
  </conditionalFormatting>
  <conditionalFormatting sqref="G48:G49">
    <cfRule type="cellIs" dxfId="666" priority="78" operator="equal">
      <formula>"Mandatory"</formula>
    </cfRule>
  </conditionalFormatting>
  <conditionalFormatting sqref="G48:G49">
    <cfRule type="cellIs" dxfId="665" priority="76" operator="equal">
      <formula>"Not Mandatory"</formula>
    </cfRule>
    <cfRule type="cellIs" dxfId="664" priority="77" operator="equal">
      <formula>"Recommended"</formula>
    </cfRule>
  </conditionalFormatting>
  <conditionalFormatting sqref="G48:G49">
    <cfRule type="cellIs" dxfId="663" priority="74" operator="equal">
      <formula>"Not Mandatory"</formula>
    </cfRule>
    <cfRule type="cellIs" dxfId="662" priority="75" operator="equal">
      <formula>"Recommended"</formula>
    </cfRule>
  </conditionalFormatting>
  <conditionalFormatting sqref="G48:G49">
    <cfRule type="cellIs" dxfId="661" priority="72" operator="equal">
      <formula>"Not Mandatory"</formula>
    </cfRule>
    <cfRule type="cellIs" dxfId="660" priority="73" operator="equal">
      <formula>"Recommended"</formula>
    </cfRule>
  </conditionalFormatting>
  <conditionalFormatting sqref="G69">
    <cfRule type="cellIs" dxfId="659" priority="71" operator="equal">
      <formula>"Mandatory"</formula>
    </cfRule>
  </conditionalFormatting>
  <conditionalFormatting sqref="G69">
    <cfRule type="cellIs" dxfId="658" priority="69" operator="equal">
      <formula>"Not Mandatory"</formula>
    </cfRule>
    <cfRule type="cellIs" dxfId="657" priority="70" operator="equal">
      <formula>"Recommended"</formula>
    </cfRule>
  </conditionalFormatting>
  <conditionalFormatting sqref="G86">
    <cfRule type="cellIs" dxfId="656" priority="68" operator="equal">
      <formula>"Mandatory"</formula>
    </cfRule>
  </conditionalFormatting>
  <conditionalFormatting sqref="G86">
    <cfRule type="cellIs" dxfId="655" priority="66" operator="equal">
      <formula>"Not Mandatory"</formula>
    </cfRule>
    <cfRule type="cellIs" dxfId="654" priority="67" operator="equal">
      <formula>"Recommended"</formula>
    </cfRule>
  </conditionalFormatting>
  <conditionalFormatting sqref="G86">
    <cfRule type="cellIs" dxfId="653" priority="64" operator="equal">
      <formula>"Not Mandatory"</formula>
    </cfRule>
    <cfRule type="cellIs" dxfId="652" priority="65" operator="equal">
      <formula>"Recommended"</formula>
    </cfRule>
  </conditionalFormatting>
  <conditionalFormatting sqref="G86">
    <cfRule type="cellIs" dxfId="651" priority="62" operator="equal">
      <formula>"Not Mandatory"</formula>
    </cfRule>
    <cfRule type="cellIs" dxfId="650" priority="63" operator="equal">
      <formula>"Recommended"</formula>
    </cfRule>
  </conditionalFormatting>
  <conditionalFormatting sqref="G9:G13">
    <cfRule type="cellIs" dxfId="649" priority="61" operator="equal">
      <formula>"Mandatory"</formula>
    </cfRule>
  </conditionalFormatting>
  <conditionalFormatting sqref="G9:G13">
    <cfRule type="cellIs" dxfId="648" priority="59" operator="equal">
      <formula>"Not Mandatory"</formula>
    </cfRule>
    <cfRule type="cellIs" dxfId="647" priority="60" operator="equal">
      <formula>"Recommended"</formula>
    </cfRule>
  </conditionalFormatting>
  <conditionalFormatting sqref="G31:G33">
    <cfRule type="cellIs" dxfId="646" priority="58" operator="equal">
      <formula>"Mandatory"</formula>
    </cfRule>
  </conditionalFormatting>
  <conditionalFormatting sqref="G31:G33">
    <cfRule type="cellIs" dxfId="645" priority="56" operator="equal">
      <formula>"Not Mandatory"</formula>
    </cfRule>
    <cfRule type="cellIs" dxfId="644" priority="57" operator="equal">
      <formula>"Recommended"</formula>
    </cfRule>
  </conditionalFormatting>
  <conditionalFormatting sqref="G31:G33">
    <cfRule type="cellIs" dxfId="643" priority="54" operator="equal">
      <formula>"Not Mandatory"</formula>
    </cfRule>
    <cfRule type="cellIs" dxfId="642" priority="55" operator="equal">
      <formula>"Recommended"</formula>
    </cfRule>
  </conditionalFormatting>
  <conditionalFormatting sqref="G31:G33">
    <cfRule type="cellIs" dxfId="641" priority="52" operator="equal">
      <formula>"Not Mandatory"</formula>
    </cfRule>
    <cfRule type="cellIs" dxfId="640" priority="53" operator="equal">
      <formula>"Recommended"</formula>
    </cfRule>
  </conditionalFormatting>
  <conditionalFormatting sqref="G41">
    <cfRule type="cellIs" dxfId="639" priority="51" operator="equal">
      <formula>"Mandatory"</formula>
    </cfRule>
  </conditionalFormatting>
  <conditionalFormatting sqref="G41">
    <cfRule type="cellIs" dxfId="638" priority="49" operator="equal">
      <formula>"Not Mandatory"</formula>
    </cfRule>
    <cfRule type="cellIs" dxfId="637" priority="50" operator="equal">
      <formula>"Recommended"</formula>
    </cfRule>
  </conditionalFormatting>
  <conditionalFormatting sqref="G41">
    <cfRule type="cellIs" dxfId="636" priority="47" operator="equal">
      <formula>"Not Mandatory"</formula>
    </cfRule>
    <cfRule type="cellIs" dxfId="635" priority="48" operator="equal">
      <formula>"Recommended"</formula>
    </cfRule>
  </conditionalFormatting>
  <conditionalFormatting sqref="G41">
    <cfRule type="cellIs" dxfId="634" priority="45" operator="equal">
      <formula>"Not Mandatory"</formula>
    </cfRule>
    <cfRule type="cellIs" dxfId="633" priority="46" operator="equal">
      <formula>"Recommended"</formula>
    </cfRule>
  </conditionalFormatting>
  <conditionalFormatting sqref="G90">
    <cfRule type="cellIs" dxfId="632" priority="44" operator="equal">
      <formula>"Mandatory"</formula>
    </cfRule>
  </conditionalFormatting>
  <conditionalFormatting sqref="G90">
    <cfRule type="cellIs" dxfId="631" priority="42" operator="equal">
      <formula>"Not Mandatory"</formula>
    </cfRule>
    <cfRule type="cellIs" dxfId="630" priority="43" operator="equal">
      <formula>"Recommended"</formula>
    </cfRule>
  </conditionalFormatting>
  <conditionalFormatting sqref="G122">
    <cfRule type="cellIs" dxfId="629" priority="41" operator="equal">
      <formula>"Mandatory"</formula>
    </cfRule>
  </conditionalFormatting>
  <conditionalFormatting sqref="G122">
    <cfRule type="cellIs" dxfId="628" priority="39" operator="equal">
      <formula>"Not Mandatory"</formula>
    </cfRule>
    <cfRule type="cellIs" dxfId="627" priority="40" operator="equal">
      <formula>"Recommended"</formula>
    </cfRule>
  </conditionalFormatting>
  <conditionalFormatting sqref="G119">
    <cfRule type="cellIs" dxfId="626" priority="38" operator="equal">
      <formula>"Mandatory"</formula>
    </cfRule>
  </conditionalFormatting>
  <conditionalFormatting sqref="G119">
    <cfRule type="cellIs" dxfId="625" priority="36" operator="equal">
      <formula>"Not Mandatory"</formula>
    </cfRule>
    <cfRule type="cellIs" dxfId="624" priority="37" operator="equal">
      <formula>"Recommended"</formula>
    </cfRule>
  </conditionalFormatting>
  <conditionalFormatting sqref="G109">
    <cfRule type="cellIs" dxfId="623" priority="35" operator="equal">
      <formula>"Mandatory"</formula>
    </cfRule>
  </conditionalFormatting>
  <conditionalFormatting sqref="G109">
    <cfRule type="cellIs" dxfId="622" priority="33" operator="equal">
      <formula>"Not Mandatory"</formula>
    </cfRule>
    <cfRule type="cellIs" dxfId="621" priority="34" operator="equal">
      <formula>"Recommended"</formula>
    </cfRule>
  </conditionalFormatting>
  <conditionalFormatting sqref="G130">
    <cfRule type="cellIs" dxfId="620" priority="32" operator="equal">
      <formula>"Mandatory"</formula>
    </cfRule>
  </conditionalFormatting>
  <conditionalFormatting sqref="G130">
    <cfRule type="cellIs" dxfId="619" priority="30" operator="equal">
      <formula>"Not Mandatory"</formula>
    </cfRule>
    <cfRule type="cellIs" dxfId="618" priority="31" operator="equal">
      <formula>"Recommended"</formula>
    </cfRule>
  </conditionalFormatting>
  <conditionalFormatting sqref="G125">
    <cfRule type="cellIs" dxfId="617" priority="29" operator="equal">
      <formula>"Mandatory"</formula>
    </cfRule>
  </conditionalFormatting>
  <conditionalFormatting sqref="G125">
    <cfRule type="cellIs" dxfId="616" priority="27" operator="equal">
      <formula>"Not Mandatory"</formula>
    </cfRule>
    <cfRule type="cellIs" dxfId="615" priority="28" operator="equal">
      <formula>"Recommended"</formula>
    </cfRule>
  </conditionalFormatting>
  <conditionalFormatting sqref="G127:G129">
    <cfRule type="cellIs" dxfId="614" priority="26" operator="equal">
      <formula>"Mandatory"</formula>
    </cfRule>
  </conditionalFormatting>
  <conditionalFormatting sqref="G127:G129">
    <cfRule type="cellIs" dxfId="613" priority="24" operator="equal">
      <formula>"Not Mandatory"</formula>
    </cfRule>
    <cfRule type="cellIs" dxfId="612" priority="25" operator="equal">
      <formula>"Recommended"</formula>
    </cfRule>
  </conditionalFormatting>
  <conditionalFormatting sqref="G135:G136">
    <cfRule type="cellIs" dxfId="611" priority="23" operator="equal">
      <formula>"Mandatory"</formula>
    </cfRule>
  </conditionalFormatting>
  <conditionalFormatting sqref="G135:G136">
    <cfRule type="cellIs" dxfId="610" priority="21" operator="equal">
      <formula>"Not Mandatory"</formula>
    </cfRule>
    <cfRule type="cellIs" dxfId="609" priority="22" operator="equal">
      <formula>"Recommended"</formula>
    </cfRule>
  </conditionalFormatting>
  <conditionalFormatting sqref="G154">
    <cfRule type="cellIs" dxfId="608" priority="20" operator="equal">
      <formula>"Mandatory"</formula>
    </cfRule>
  </conditionalFormatting>
  <conditionalFormatting sqref="G154">
    <cfRule type="cellIs" dxfId="607" priority="18" operator="equal">
      <formula>"Not Mandatory"</formula>
    </cfRule>
    <cfRule type="cellIs" dxfId="606" priority="19" operator="equal">
      <formula>"Recommended"</formula>
    </cfRule>
  </conditionalFormatting>
  <conditionalFormatting sqref="G162">
    <cfRule type="cellIs" dxfId="605" priority="17" operator="equal">
      <formula>"Mandatory"</formula>
    </cfRule>
  </conditionalFormatting>
  <conditionalFormatting sqref="G162">
    <cfRule type="cellIs" dxfId="604" priority="15" operator="equal">
      <formula>"Not Mandatory"</formula>
    </cfRule>
    <cfRule type="cellIs" dxfId="603" priority="16" operator="equal">
      <formula>"Recommended"</formula>
    </cfRule>
  </conditionalFormatting>
  <conditionalFormatting sqref="G66">
    <cfRule type="cellIs" dxfId="602" priority="14" operator="equal">
      <formula>"Mandatory"</formula>
    </cfRule>
  </conditionalFormatting>
  <conditionalFormatting sqref="G66">
    <cfRule type="cellIs" dxfId="601" priority="12" operator="equal">
      <formula>"Not Mandatory"</formula>
    </cfRule>
    <cfRule type="cellIs" dxfId="600" priority="13" operator="equal">
      <formula>"Recommended"</formula>
    </cfRule>
  </conditionalFormatting>
  <conditionalFormatting sqref="G66">
    <cfRule type="cellIs" dxfId="599" priority="10" operator="equal">
      <formula>"Not Mandatory"</formula>
    </cfRule>
    <cfRule type="cellIs" dxfId="598" priority="11" operator="equal">
      <formula>"Recommended"</formula>
    </cfRule>
  </conditionalFormatting>
  <conditionalFormatting sqref="G66">
    <cfRule type="cellIs" dxfId="597" priority="8" operator="equal">
      <formula>"Not Mandatory"</formula>
    </cfRule>
    <cfRule type="cellIs" dxfId="596" priority="9" operator="equal">
      <formula>"Recommended"</formula>
    </cfRule>
  </conditionalFormatting>
  <conditionalFormatting sqref="G39">
    <cfRule type="cellIs" dxfId="595" priority="7" operator="equal">
      <formula>"Mandatory"</formula>
    </cfRule>
  </conditionalFormatting>
  <conditionalFormatting sqref="G39">
    <cfRule type="cellIs" dxfId="594" priority="5" operator="equal">
      <formula>"Not Mandatory"</formula>
    </cfRule>
    <cfRule type="cellIs" dxfId="593" priority="6" operator="equal">
      <formula>"Recommended"</formula>
    </cfRule>
  </conditionalFormatting>
  <conditionalFormatting sqref="G39">
    <cfRule type="cellIs" dxfId="592" priority="3" operator="equal">
      <formula>"Not Mandatory"</formula>
    </cfRule>
    <cfRule type="cellIs" dxfId="591" priority="4" operator="equal">
      <formula>"Recommended"</formula>
    </cfRule>
  </conditionalFormatting>
  <conditionalFormatting sqref="G39">
    <cfRule type="cellIs" dxfId="590" priority="1" operator="equal">
      <formula>"Not Mandatory"</formula>
    </cfRule>
    <cfRule type="cellIs" dxfId="589" priority="2" operator="equal">
      <formula>"Recommended"</formula>
    </cfRule>
  </conditionalFormatting>
  <dataValidations count="1">
    <dataValidation type="list" allowBlank="1" showInputMessage="1" showErrorMessage="1" sqref="F4:F213" xr:uid="{407DAEA3-3287-4378-82B6-27A4F2DD8FE2}">
      <formula1>$F$1:$F$2</formula1>
    </dataValidation>
  </dataValidations>
  <pageMargins left="0.7" right="0.7" top="0.75" bottom="0.75" header="0.3" footer="0.3"/>
  <pageSetup paperSize="66" scale="3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839D-0211-44B8-90EF-55FEEAB15ED9}">
  <sheetPr codeName="Sheet8">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44998.412418981483</v>
      </c>
      <c r="H4" s="162"/>
      <c r="J4" s="2" t="b">
        <f>EXACT(G4,'Vh5205_C-98'!G4)</f>
        <v>0</v>
      </c>
    </row>
    <row r="5" spans="1:10" x14ac:dyDescent="0.35">
      <c r="A5" s="90">
        <v>2</v>
      </c>
      <c r="B5" s="10" t="s">
        <v>685</v>
      </c>
      <c r="C5" s="10" t="s">
        <v>55</v>
      </c>
      <c r="D5" s="146"/>
      <c r="E5" s="146"/>
      <c r="F5" s="19" t="s">
        <v>26</v>
      </c>
      <c r="G5" s="202">
        <v>45005.912418981483</v>
      </c>
      <c r="H5" s="58"/>
      <c r="J5" s="2" t="b">
        <f>EXACT(G5,'Vh5205_C-98'!G5)</f>
        <v>0</v>
      </c>
    </row>
    <row r="6" spans="1:10" x14ac:dyDescent="0.35">
      <c r="A6" s="90">
        <v>3</v>
      </c>
      <c r="B6" s="146" t="s">
        <v>685</v>
      </c>
      <c r="C6" s="146" t="s">
        <v>41</v>
      </c>
      <c r="D6" s="146"/>
      <c r="E6" s="146"/>
      <c r="F6" s="19" t="s">
        <v>26</v>
      </c>
      <c r="G6" s="161" t="s">
        <v>515</v>
      </c>
      <c r="H6" s="58"/>
      <c r="J6" s="2" t="b">
        <f>EXACT(G6,'Vh5205_C-98'!G6)</f>
        <v>0</v>
      </c>
    </row>
    <row r="7" spans="1:10" x14ac:dyDescent="0.35">
      <c r="A7" s="90">
        <v>4</v>
      </c>
      <c r="B7" s="146" t="s">
        <v>685</v>
      </c>
      <c r="C7" s="146" t="s">
        <v>7</v>
      </c>
      <c r="D7" s="146"/>
      <c r="E7" s="146"/>
      <c r="F7" s="19" t="s">
        <v>79</v>
      </c>
      <c r="G7" s="192" t="s">
        <v>499</v>
      </c>
      <c r="H7" s="53" t="s">
        <v>652</v>
      </c>
      <c r="J7" s="176" t="b">
        <f>EXACT(G7,'Vh5205_C-98'!G7)</f>
        <v>1</v>
      </c>
    </row>
    <row r="8" spans="1:10" x14ac:dyDescent="0.35">
      <c r="A8" s="90">
        <v>5</v>
      </c>
      <c r="B8" s="87" t="s">
        <v>685</v>
      </c>
      <c r="C8" s="87" t="s">
        <v>39</v>
      </c>
      <c r="D8" s="87"/>
      <c r="E8" s="87"/>
      <c r="F8" s="22" t="s">
        <v>79</v>
      </c>
      <c r="G8" s="194" t="s">
        <v>524</v>
      </c>
      <c r="H8" s="181" t="s">
        <v>652</v>
      </c>
      <c r="J8" s="176" t="b">
        <f>EXACT(G8,'Vh5205_C-98'!G8)</f>
        <v>1</v>
      </c>
    </row>
    <row r="9" spans="1:10" x14ac:dyDescent="0.35">
      <c r="A9" s="90">
        <v>6</v>
      </c>
      <c r="B9" s="10" t="s">
        <v>686</v>
      </c>
      <c r="C9" s="10" t="s">
        <v>301</v>
      </c>
      <c r="D9" s="10"/>
      <c r="E9" s="10"/>
      <c r="F9" s="19" t="s">
        <v>26</v>
      </c>
      <c r="G9" s="192" t="s">
        <v>196</v>
      </c>
      <c r="H9" s="163" t="s">
        <v>652</v>
      </c>
      <c r="J9" s="176" t="b">
        <f>EXACT(G9,'Vh5205_C-98'!G9)</f>
        <v>1</v>
      </c>
    </row>
    <row r="10" spans="1:10" x14ac:dyDescent="0.35">
      <c r="A10" s="90">
        <v>7</v>
      </c>
      <c r="B10" s="10" t="s">
        <v>686</v>
      </c>
      <c r="C10" s="10" t="s">
        <v>302</v>
      </c>
      <c r="D10" s="94"/>
      <c r="E10" s="146"/>
      <c r="F10" s="19" t="s">
        <v>26</v>
      </c>
      <c r="G10" s="161" t="s">
        <v>523</v>
      </c>
      <c r="H10" s="140" t="s">
        <v>652</v>
      </c>
      <c r="J10" s="176" t="b">
        <f>EXACT(G10,'Vh5205_C-98'!G10)</f>
        <v>1</v>
      </c>
    </row>
    <row r="11" spans="1:10" x14ac:dyDescent="0.35">
      <c r="A11" s="90">
        <v>8</v>
      </c>
      <c r="B11" s="146" t="s">
        <v>686</v>
      </c>
      <c r="C11" s="146" t="s">
        <v>134</v>
      </c>
      <c r="D11" s="146" t="s">
        <v>15</v>
      </c>
      <c r="E11" s="146" t="s">
        <v>85</v>
      </c>
      <c r="F11" s="19" t="s">
        <v>26</v>
      </c>
      <c r="G11" s="192" t="s">
        <v>197</v>
      </c>
      <c r="H11" s="53" t="s">
        <v>652</v>
      </c>
      <c r="J11" s="176" t="b">
        <f>EXACT(G11,'Vh5205_C-98'!G11)</f>
        <v>1</v>
      </c>
    </row>
    <row r="12" spans="1:10" x14ac:dyDescent="0.35">
      <c r="A12" s="90">
        <v>9</v>
      </c>
      <c r="B12" s="10" t="s">
        <v>686</v>
      </c>
      <c r="C12" s="10" t="s">
        <v>310</v>
      </c>
      <c r="D12" s="146"/>
      <c r="E12" s="146"/>
      <c r="F12" s="19" t="s">
        <v>26</v>
      </c>
      <c r="G12" s="192" t="s">
        <v>198</v>
      </c>
      <c r="H12" s="53" t="s">
        <v>652</v>
      </c>
      <c r="J12" s="176" t="b">
        <f>EXACT(G12,'Vh5205_C-98'!G12)</f>
        <v>1</v>
      </c>
    </row>
    <row r="13" spans="1:10" x14ac:dyDescent="0.35">
      <c r="A13" s="90">
        <v>10</v>
      </c>
      <c r="B13" s="10" t="s">
        <v>686</v>
      </c>
      <c r="C13" s="10" t="s">
        <v>311</v>
      </c>
      <c r="D13" s="146"/>
      <c r="E13" s="146"/>
      <c r="F13" s="19" t="s">
        <v>26</v>
      </c>
      <c r="G13" s="192" t="s">
        <v>199</v>
      </c>
      <c r="H13" s="53" t="s">
        <v>652</v>
      </c>
      <c r="J13" s="176" t="b">
        <f>EXACT(G13,'Vh5205_C-98'!G13)</f>
        <v>1</v>
      </c>
    </row>
    <row r="14" spans="1:10" ht="17.5" x14ac:dyDescent="0.35">
      <c r="A14" s="90">
        <v>11</v>
      </c>
      <c r="B14" s="10" t="s">
        <v>686</v>
      </c>
      <c r="C14" s="10" t="s">
        <v>123</v>
      </c>
      <c r="D14" s="146" t="s">
        <v>557</v>
      </c>
      <c r="E14" s="146" t="s">
        <v>4</v>
      </c>
      <c r="F14" s="19" t="s">
        <v>26</v>
      </c>
      <c r="G14" s="161">
        <v>200</v>
      </c>
      <c r="H14" s="140"/>
      <c r="J14" s="1" t="b">
        <f>EXACT(G14,'Vh5205_C-98'!G14)</f>
        <v>0</v>
      </c>
    </row>
    <row r="15" spans="1:10" x14ac:dyDescent="0.35">
      <c r="A15" s="90">
        <v>12</v>
      </c>
      <c r="B15" s="146" t="s">
        <v>686</v>
      </c>
      <c r="C15" s="146" t="s">
        <v>116</v>
      </c>
      <c r="D15" s="146"/>
      <c r="E15" s="146"/>
      <c r="F15" s="19" t="s">
        <v>26</v>
      </c>
      <c r="G15" s="161" t="s">
        <v>684</v>
      </c>
      <c r="H15" s="53" t="s">
        <v>652</v>
      </c>
      <c r="J15" s="176" t="b">
        <f>EXACT(G15,'Vh5205_C-98'!G15)</f>
        <v>1</v>
      </c>
    </row>
    <row r="16" spans="1:10" x14ac:dyDescent="0.35">
      <c r="A16" s="90">
        <v>13</v>
      </c>
      <c r="B16" s="10" t="s">
        <v>686</v>
      </c>
      <c r="C16" s="10" t="s">
        <v>408</v>
      </c>
      <c r="D16" s="146"/>
      <c r="E16" s="146"/>
      <c r="F16" s="19" t="s">
        <v>26</v>
      </c>
      <c r="G16" s="161" t="s">
        <v>519</v>
      </c>
      <c r="H16" s="140"/>
      <c r="J16" s="1" t="b">
        <f>EXACT(G16,'Vh5205_C-98'!G16)</f>
        <v>1</v>
      </c>
    </row>
    <row r="17" spans="1:10" x14ac:dyDescent="0.35">
      <c r="A17" s="90">
        <v>14</v>
      </c>
      <c r="B17" s="10" t="s">
        <v>686</v>
      </c>
      <c r="C17" s="10" t="s">
        <v>409</v>
      </c>
      <c r="D17" s="146"/>
      <c r="E17" s="146"/>
      <c r="F17" s="19" t="s">
        <v>26</v>
      </c>
      <c r="G17" s="161" t="s">
        <v>524</v>
      </c>
      <c r="H17" s="140"/>
      <c r="J17" s="1" t="b">
        <f>EXACT(G17,'Vh5205_C-98'!G17)</f>
        <v>1</v>
      </c>
    </row>
    <row r="18" spans="1:10" s="7" customFormat="1" x14ac:dyDescent="0.35">
      <c r="A18" s="90">
        <v>15</v>
      </c>
      <c r="B18" s="146" t="s">
        <v>686</v>
      </c>
      <c r="C18" s="146" t="s">
        <v>177</v>
      </c>
      <c r="D18" s="146"/>
      <c r="E18" s="146"/>
      <c r="F18" s="19" t="s">
        <v>26</v>
      </c>
      <c r="G18" s="161" t="s">
        <v>524</v>
      </c>
      <c r="H18" s="177"/>
      <c r="J18" s="1" t="b">
        <f>EXACT(G18,'Vh5205_C-98'!G18)</f>
        <v>1</v>
      </c>
    </row>
    <row r="19" spans="1:10" x14ac:dyDescent="0.35">
      <c r="A19" s="90">
        <v>16</v>
      </c>
      <c r="B19" s="10" t="s">
        <v>686</v>
      </c>
      <c r="C19" s="10" t="s">
        <v>124</v>
      </c>
      <c r="D19" s="146"/>
      <c r="E19" s="146" t="s">
        <v>0</v>
      </c>
      <c r="F19" s="19" t="s">
        <v>79</v>
      </c>
      <c r="G19" s="203"/>
      <c r="H19" s="140"/>
      <c r="J19" s="1" t="b">
        <f>EXACT(G19,'Vh5205_C-98'!G19)</f>
        <v>1</v>
      </c>
    </row>
    <row r="20" spans="1:10" x14ac:dyDescent="0.35">
      <c r="A20" s="90">
        <v>17</v>
      </c>
      <c r="B20" s="10" t="s">
        <v>686</v>
      </c>
      <c r="C20" s="10" t="s">
        <v>188</v>
      </c>
      <c r="D20" s="146"/>
      <c r="E20" s="146" t="s">
        <v>0</v>
      </c>
      <c r="F20" s="19" t="s">
        <v>26</v>
      </c>
      <c r="G20" s="193" t="s">
        <v>618</v>
      </c>
      <c r="H20" s="140" t="s">
        <v>652</v>
      </c>
      <c r="J20" s="176" t="b">
        <f>EXACT(G20,'Vh5205_C-98'!G20)</f>
        <v>1</v>
      </c>
    </row>
    <row r="21" spans="1:10" x14ac:dyDescent="0.35">
      <c r="A21" s="90">
        <v>18</v>
      </c>
      <c r="B21" s="13" t="s">
        <v>686</v>
      </c>
      <c r="C21" s="13" t="s">
        <v>131</v>
      </c>
      <c r="D21" s="87"/>
      <c r="E21" s="87"/>
      <c r="F21" s="22" t="s">
        <v>79</v>
      </c>
      <c r="G21" s="196"/>
      <c r="H21" s="182"/>
      <c r="J21" s="1" t="b">
        <f>EXACT(G21,'Vh5205_C-98'!G21)</f>
        <v>1</v>
      </c>
    </row>
    <row r="22" spans="1:10" x14ac:dyDescent="0.35">
      <c r="A22" s="90">
        <v>19</v>
      </c>
      <c r="B22" s="146" t="s">
        <v>687</v>
      </c>
      <c r="C22" s="146" t="s">
        <v>65</v>
      </c>
      <c r="D22" s="146"/>
      <c r="E22" s="146"/>
      <c r="F22" s="19" t="s">
        <v>79</v>
      </c>
      <c r="G22" s="192" t="s">
        <v>48</v>
      </c>
      <c r="H22" s="53" t="s">
        <v>652</v>
      </c>
      <c r="J22" s="176" t="b">
        <f>EXACT(G22,'Vh5205_C-98'!G22)</f>
        <v>1</v>
      </c>
    </row>
    <row r="23" spans="1:10" x14ac:dyDescent="0.35">
      <c r="A23" s="90">
        <v>20</v>
      </c>
      <c r="B23" s="146" t="s">
        <v>687</v>
      </c>
      <c r="C23" s="146" t="s">
        <v>69</v>
      </c>
      <c r="D23" s="146"/>
      <c r="E23" s="146"/>
      <c r="F23" s="19" t="s">
        <v>79</v>
      </c>
      <c r="G23" s="161"/>
      <c r="H23" s="140"/>
      <c r="J23" s="1" t="b">
        <f>EXACT(G23,'Vh5205_C-98'!G23)</f>
        <v>1</v>
      </c>
    </row>
    <row r="24" spans="1:10" x14ac:dyDescent="0.35">
      <c r="A24" s="90">
        <v>21</v>
      </c>
      <c r="B24" s="146" t="s">
        <v>687</v>
      </c>
      <c r="C24" s="146" t="s">
        <v>70</v>
      </c>
      <c r="D24" s="146"/>
      <c r="E24" s="146"/>
      <c r="F24" s="19" t="s">
        <v>79</v>
      </c>
      <c r="G24" s="161"/>
      <c r="H24" s="140"/>
      <c r="J24" s="1" t="b">
        <f>EXACT(G24,'Vh5205_C-98'!G24)</f>
        <v>1</v>
      </c>
    </row>
    <row r="25" spans="1:10" x14ac:dyDescent="0.35">
      <c r="A25" s="90">
        <v>22</v>
      </c>
      <c r="B25" s="146" t="s">
        <v>687</v>
      </c>
      <c r="C25" s="146" t="s">
        <v>71</v>
      </c>
      <c r="D25" s="146"/>
      <c r="E25" s="146"/>
      <c r="F25" s="19" t="s">
        <v>79</v>
      </c>
      <c r="G25" s="161"/>
      <c r="H25" s="140"/>
      <c r="J25" s="1" t="b">
        <f>EXACT(G25,'Vh5205_C-98'!G25)</f>
        <v>1</v>
      </c>
    </row>
    <row r="26" spans="1:10" x14ac:dyDescent="0.35">
      <c r="A26" s="90">
        <v>23</v>
      </c>
      <c r="B26" s="146" t="s">
        <v>687</v>
      </c>
      <c r="C26" s="146" t="s">
        <v>72</v>
      </c>
      <c r="D26" s="146"/>
      <c r="E26" s="146"/>
      <c r="F26" s="19" t="s">
        <v>79</v>
      </c>
      <c r="G26" s="161"/>
      <c r="H26" s="140"/>
      <c r="J26" s="1" t="b">
        <f>EXACT(G26,'Vh5205_C-98'!G26)</f>
        <v>1</v>
      </c>
    </row>
    <row r="27" spans="1:10" x14ac:dyDescent="0.35">
      <c r="A27" s="90">
        <v>24</v>
      </c>
      <c r="B27" s="146" t="s">
        <v>687</v>
      </c>
      <c r="C27" s="146" t="s">
        <v>81</v>
      </c>
      <c r="D27" s="146"/>
      <c r="E27" s="146"/>
      <c r="F27" s="19" t="s">
        <v>79</v>
      </c>
      <c r="G27" s="161"/>
      <c r="H27" s="140"/>
      <c r="J27" s="1" t="b">
        <f>EXACT(G27,'Vh5205_C-98'!G27)</f>
        <v>1</v>
      </c>
    </row>
    <row r="28" spans="1:10" x14ac:dyDescent="0.35">
      <c r="A28" s="90">
        <v>25</v>
      </c>
      <c r="B28" s="146" t="s">
        <v>687</v>
      </c>
      <c r="C28" s="146" t="s">
        <v>82</v>
      </c>
      <c r="D28" s="146"/>
      <c r="E28" s="146"/>
      <c r="F28" s="22" t="s">
        <v>79</v>
      </c>
      <c r="G28" s="196"/>
      <c r="H28" s="182"/>
      <c r="J28" s="1" t="b">
        <f>EXACT(G28,'Vh5205_C-98'!G28)</f>
        <v>1</v>
      </c>
    </row>
    <row r="29" spans="1:10" x14ac:dyDescent="0.35">
      <c r="A29" s="90">
        <v>26</v>
      </c>
      <c r="B29" s="99" t="s">
        <v>688</v>
      </c>
      <c r="C29" s="99" t="s">
        <v>312</v>
      </c>
      <c r="D29" s="100"/>
      <c r="E29" s="100"/>
      <c r="F29" s="18" t="s">
        <v>26</v>
      </c>
      <c r="G29" s="196" t="s">
        <v>200</v>
      </c>
      <c r="H29" s="182" t="s">
        <v>652</v>
      </c>
      <c r="J29" s="176" t="b">
        <f>EXACT(G29,'Vh5205_C-98'!G29)</f>
        <v>1</v>
      </c>
    </row>
    <row r="30" spans="1:10" x14ac:dyDescent="0.35">
      <c r="A30" s="90">
        <v>27</v>
      </c>
      <c r="B30" s="102" t="s">
        <v>689</v>
      </c>
      <c r="C30" s="102" t="s">
        <v>147</v>
      </c>
      <c r="D30" s="100"/>
      <c r="E30" s="100"/>
      <c r="F30" s="18" t="s">
        <v>79</v>
      </c>
      <c r="G30" s="161"/>
      <c r="H30" s="140"/>
      <c r="J30" s="1" t="b">
        <f>EXACT(G30,'Vh5205_C-98'!G30)</f>
        <v>1</v>
      </c>
    </row>
    <row r="31" spans="1:10" s="7" customFormat="1" ht="31" x14ac:dyDescent="0.35">
      <c r="A31" s="90">
        <v>28</v>
      </c>
      <c r="B31" s="10" t="s">
        <v>689</v>
      </c>
      <c r="C31" s="10" t="s">
        <v>324</v>
      </c>
      <c r="D31" s="146"/>
      <c r="E31" s="10"/>
      <c r="F31" s="19" t="s">
        <v>26</v>
      </c>
      <c r="G31" s="161" t="s">
        <v>460</v>
      </c>
      <c r="H31" s="177" t="s">
        <v>652</v>
      </c>
      <c r="J31" s="176" t="b">
        <f>EXACT(G31,'Vh5205_C-98'!G31)</f>
        <v>1</v>
      </c>
    </row>
    <row r="32" spans="1:10" s="7" customFormat="1" x14ac:dyDescent="0.35">
      <c r="A32" s="90">
        <v>29</v>
      </c>
      <c r="B32" s="10" t="s">
        <v>689</v>
      </c>
      <c r="C32" s="10" t="s">
        <v>303</v>
      </c>
      <c r="D32" s="146"/>
      <c r="E32" s="10"/>
      <c r="F32" s="19" t="s">
        <v>26</v>
      </c>
      <c r="G32" s="161" t="s">
        <v>461</v>
      </c>
      <c r="H32" s="177" t="s">
        <v>652</v>
      </c>
      <c r="J32" s="176" t="b">
        <f>EXACT(G32,'Vh5205_C-98'!G32)</f>
        <v>1</v>
      </c>
    </row>
    <row r="33" spans="1:10" ht="31" x14ac:dyDescent="0.35">
      <c r="A33" s="90">
        <v>30</v>
      </c>
      <c r="B33" s="10" t="s">
        <v>689</v>
      </c>
      <c r="C33" s="10" t="s">
        <v>304</v>
      </c>
      <c r="D33" s="146"/>
      <c r="E33" s="146"/>
      <c r="F33" s="19" t="s">
        <v>79</v>
      </c>
      <c r="G33" s="161" t="s">
        <v>285</v>
      </c>
      <c r="H33" s="140" t="s">
        <v>652</v>
      </c>
      <c r="J33" s="176" t="b">
        <f>EXACT(G33,'Vh5205_C-98'!G33)</f>
        <v>1</v>
      </c>
    </row>
    <row r="34" spans="1:10" x14ac:dyDescent="0.35">
      <c r="A34" s="90">
        <v>31</v>
      </c>
      <c r="B34" s="10" t="s">
        <v>689</v>
      </c>
      <c r="C34" s="10" t="s">
        <v>83</v>
      </c>
      <c r="D34" s="146"/>
      <c r="E34" s="146" t="s">
        <v>85</v>
      </c>
      <c r="F34" s="19" t="s">
        <v>79</v>
      </c>
      <c r="G34" s="192"/>
      <c r="H34" s="140"/>
      <c r="J34" s="1" t="b">
        <f>EXACT(G34,'Vh5205_C-98'!G34)</f>
        <v>1</v>
      </c>
    </row>
    <row r="35" spans="1:10" x14ac:dyDescent="0.35">
      <c r="A35" s="90">
        <v>32</v>
      </c>
      <c r="B35" s="10" t="s">
        <v>689</v>
      </c>
      <c r="C35" s="10" t="s">
        <v>84</v>
      </c>
      <c r="D35" s="146"/>
      <c r="E35" s="146"/>
      <c r="F35" s="19" t="s">
        <v>79</v>
      </c>
      <c r="G35" s="192"/>
      <c r="H35" s="140"/>
      <c r="J35" s="1" t="b">
        <f>EXACT(G35,'Vh5205_C-98'!G35)</f>
        <v>1</v>
      </c>
    </row>
    <row r="36" spans="1:10" x14ac:dyDescent="0.35">
      <c r="A36" s="90">
        <v>33</v>
      </c>
      <c r="B36" s="10" t="s">
        <v>689</v>
      </c>
      <c r="C36" s="10" t="s">
        <v>61</v>
      </c>
      <c r="D36" s="146"/>
      <c r="E36" s="146"/>
      <c r="F36" s="19" t="s">
        <v>26</v>
      </c>
      <c r="G36" s="192" t="s">
        <v>611</v>
      </c>
      <c r="H36" s="140" t="s">
        <v>652</v>
      </c>
      <c r="J36" s="176" t="b">
        <f>EXACT(G36,'Vh5205_C-98'!G36)</f>
        <v>1</v>
      </c>
    </row>
    <row r="37" spans="1:10" x14ac:dyDescent="0.35">
      <c r="A37" s="90">
        <v>34</v>
      </c>
      <c r="B37" s="13" t="s">
        <v>689</v>
      </c>
      <c r="C37" s="13" t="s">
        <v>56</v>
      </c>
      <c r="D37" s="146"/>
      <c r="E37" s="146"/>
      <c r="F37" s="22" t="s">
        <v>26</v>
      </c>
      <c r="G37" s="194" t="s">
        <v>201</v>
      </c>
      <c r="H37" s="182" t="s">
        <v>652</v>
      </c>
      <c r="J37" s="176" t="b">
        <f>EXACT(G37,'Vh5205_C-98'!G37)</f>
        <v>1</v>
      </c>
    </row>
    <row r="38" spans="1:10" s="7" customFormat="1" x14ac:dyDescent="0.35">
      <c r="A38" s="90">
        <v>35</v>
      </c>
      <c r="B38" s="10" t="s">
        <v>690</v>
      </c>
      <c r="C38" s="10" t="s">
        <v>77</v>
      </c>
      <c r="D38" s="100"/>
      <c r="E38" s="102"/>
      <c r="F38" s="19" t="s">
        <v>26</v>
      </c>
      <c r="G38" s="161" t="s">
        <v>278</v>
      </c>
      <c r="H38" s="177" t="s">
        <v>652</v>
      </c>
      <c r="J38" s="176" t="b">
        <f>EXACT(G38,'Vh5205_C-98'!G38)</f>
        <v>1</v>
      </c>
    </row>
    <row r="39" spans="1:10" s="7" customFormat="1" ht="62.15" customHeight="1" x14ac:dyDescent="0.35">
      <c r="A39" s="90">
        <v>36</v>
      </c>
      <c r="B39" s="10" t="s">
        <v>690</v>
      </c>
      <c r="C39" s="10" t="s">
        <v>560</v>
      </c>
      <c r="D39" s="146"/>
      <c r="E39" s="10"/>
      <c r="F39" s="19" t="s">
        <v>26</v>
      </c>
      <c r="G39" s="161" t="s">
        <v>716</v>
      </c>
      <c r="H39" s="177" t="s">
        <v>652</v>
      </c>
      <c r="J39" s="176" t="b">
        <f>EXACT(G39,'Vh5205_C-98'!G39)</f>
        <v>1</v>
      </c>
    </row>
    <row r="40" spans="1:10" s="7" customFormat="1" ht="31" x14ac:dyDescent="0.35">
      <c r="A40" s="90">
        <v>37</v>
      </c>
      <c r="B40" s="10" t="s">
        <v>690</v>
      </c>
      <c r="C40" s="10" t="s">
        <v>305</v>
      </c>
      <c r="D40" s="146"/>
      <c r="E40" s="10"/>
      <c r="F40" s="19" t="s">
        <v>26</v>
      </c>
      <c r="G40" s="161" t="s">
        <v>619</v>
      </c>
      <c r="H40" s="177" t="s">
        <v>652</v>
      </c>
      <c r="J40" s="176" t="b">
        <f>EXACT(G40,'Vh5205_C-98'!G40)</f>
        <v>1</v>
      </c>
    </row>
    <row r="41" spans="1:10" s="7" customFormat="1" x14ac:dyDescent="0.35">
      <c r="A41" s="90">
        <v>38</v>
      </c>
      <c r="B41" s="10" t="s">
        <v>690</v>
      </c>
      <c r="C41" s="10" t="s">
        <v>128</v>
      </c>
      <c r="D41" s="146"/>
      <c r="E41" s="10"/>
      <c r="F41" s="19" t="s">
        <v>26</v>
      </c>
      <c r="G41" s="195">
        <v>35458</v>
      </c>
      <c r="H41" s="177" t="s">
        <v>652</v>
      </c>
      <c r="J41" s="176" t="b">
        <f>EXACT(G41,'Vh5205_C-98'!G41)</f>
        <v>1</v>
      </c>
    </row>
    <row r="42" spans="1:10" s="7" customFormat="1" x14ac:dyDescent="0.35">
      <c r="A42" s="90">
        <v>39</v>
      </c>
      <c r="B42" s="10" t="s">
        <v>690</v>
      </c>
      <c r="C42" s="10" t="s">
        <v>129</v>
      </c>
      <c r="D42" s="146"/>
      <c r="E42" s="10"/>
      <c r="F42" s="19" t="s">
        <v>79</v>
      </c>
      <c r="G42" s="192"/>
      <c r="H42" s="177" t="s">
        <v>652</v>
      </c>
      <c r="J42" s="176" t="b">
        <f>EXACT(G42,'Vh5205_C-98'!G42)</f>
        <v>1</v>
      </c>
    </row>
    <row r="43" spans="1:10" s="7" customFormat="1" x14ac:dyDescent="0.35">
      <c r="A43" s="90">
        <v>40</v>
      </c>
      <c r="B43" s="13" t="s">
        <v>690</v>
      </c>
      <c r="C43" s="13" t="s">
        <v>130</v>
      </c>
      <c r="D43" s="87"/>
      <c r="E43" s="13"/>
      <c r="F43" s="22" t="s">
        <v>79</v>
      </c>
      <c r="G43" s="194"/>
      <c r="H43" s="180" t="s">
        <v>652</v>
      </c>
      <c r="J43" s="176" t="b">
        <f>EXACT(G43,'Vh5205_C-98'!G43)</f>
        <v>1</v>
      </c>
    </row>
    <row r="44" spans="1:10" x14ac:dyDescent="0.35">
      <c r="A44" s="90">
        <v>41</v>
      </c>
      <c r="B44" s="102" t="s">
        <v>691</v>
      </c>
      <c r="C44" s="102" t="s">
        <v>117</v>
      </c>
      <c r="D44" s="100"/>
      <c r="E44" s="100"/>
      <c r="F44" s="18" t="s">
        <v>26</v>
      </c>
      <c r="G44" s="161" t="s">
        <v>462</v>
      </c>
      <c r="H44" s="177" t="s">
        <v>652</v>
      </c>
      <c r="J44" s="176" t="b">
        <f>EXACT(G44,'Vh5205_C-98'!G44)</f>
        <v>1</v>
      </c>
    </row>
    <row r="45" spans="1:10" s="7" customFormat="1" x14ac:dyDescent="0.35">
      <c r="A45" s="90">
        <v>42</v>
      </c>
      <c r="B45" s="10" t="s">
        <v>691</v>
      </c>
      <c r="C45" s="10" t="s">
        <v>87</v>
      </c>
      <c r="D45" s="146"/>
      <c r="E45" s="10"/>
      <c r="F45" s="19" t="s">
        <v>79</v>
      </c>
      <c r="G45" s="192" t="s">
        <v>196</v>
      </c>
      <c r="H45" s="177" t="s">
        <v>652</v>
      </c>
      <c r="J45" s="176" t="b">
        <f>EXACT(G45,'Vh5205_C-98'!G45)</f>
        <v>1</v>
      </c>
    </row>
    <row r="46" spans="1:10" s="7" customFormat="1" x14ac:dyDescent="0.35">
      <c r="A46" s="90">
        <v>43</v>
      </c>
      <c r="B46" s="10" t="s">
        <v>691</v>
      </c>
      <c r="C46" s="10" t="s">
        <v>88</v>
      </c>
      <c r="D46" s="146"/>
      <c r="E46" s="10"/>
      <c r="F46" s="19" t="s">
        <v>79</v>
      </c>
      <c r="G46" s="192" t="s">
        <v>196</v>
      </c>
      <c r="H46" s="177" t="s">
        <v>652</v>
      </c>
      <c r="J46" s="176" t="b">
        <f>EXACT(G46,'Vh5205_C-98'!G46)</f>
        <v>1</v>
      </c>
    </row>
    <row r="47" spans="1:10" s="7" customFormat="1" x14ac:dyDescent="0.35">
      <c r="A47" s="90">
        <v>44</v>
      </c>
      <c r="B47" s="10" t="s">
        <v>691</v>
      </c>
      <c r="C47" s="10" t="s">
        <v>60</v>
      </c>
      <c r="D47" s="146"/>
      <c r="E47" s="10"/>
      <c r="F47" s="19" t="s">
        <v>79</v>
      </c>
      <c r="G47" s="192" t="s">
        <v>500</v>
      </c>
      <c r="H47" s="177" t="s">
        <v>652</v>
      </c>
      <c r="J47" s="176" t="b">
        <f>EXACT(G47,'Vh5205_C-98'!G47)</f>
        <v>1</v>
      </c>
    </row>
    <row r="48" spans="1:10" x14ac:dyDescent="0.35">
      <c r="A48" s="90">
        <v>45</v>
      </c>
      <c r="B48" s="10" t="s">
        <v>691</v>
      </c>
      <c r="C48" s="10" t="s">
        <v>90</v>
      </c>
      <c r="D48" s="146"/>
      <c r="E48" s="146"/>
      <c r="F48" s="19" t="s">
        <v>26</v>
      </c>
      <c r="G48" s="161" t="s">
        <v>649</v>
      </c>
      <c r="H48" s="177" t="s">
        <v>652</v>
      </c>
      <c r="J48" s="176" t="b">
        <f>EXACT(G48,'Vh5205_C-98'!G48)</f>
        <v>1</v>
      </c>
    </row>
    <row r="49" spans="1:10" x14ac:dyDescent="0.35">
      <c r="A49" s="90">
        <v>46</v>
      </c>
      <c r="B49" s="10" t="s">
        <v>691</v>
      </c>
      <c r="C49" s="10" t="s">
        <v>91</v>
      </c>
      <c r="D49" s="146"/>
      <c r="E49" s="146"/>
      <c r="F49" s="19" t="s">
        <v>26</v>
      </c>
      <c r="G49" s="161" t="s">
        <v>649</v>
      </c>
      <c r="H49" s="177" t="s">
        <v>652</v>
      </c>
      <c r="J49" s="176" t="b">
        <f>EXACT(G49,'Vh5205_C-98'!G49)</f>
        <v>1</v>
      </c>
    </row>
    <row r="50" spans="1:10" x14ac:dyDescent="0.35">
      <c r="A50" s="90">
        <v>47</v>
      </c>
      <c r="B50" s="13" t="s">
        <v>691</v>
      </c>
      <c r="C50" s="13" t="s">
        <v>86</v>
      </c>
      <c r="D50" s="87"/>
      <c r="E50" s="87"/>
      <c r="F50" s="22" t="s">
        <v>79</v>
      </c>
      <c r="G50" s="194"/>
      <c r="H50" s="180"/>
      <c r="J50" s="1" t="b">
        <f>EXACT(G50,'Vh5205_C-98'!G50)</f>
        <v>1</v>
      </c>
    </row>
    <row r="51" spans="1:10" s="7" customFormat="1" x14ac:dyDescent="0.35">
      <c r="A51" s="90">
        <v>48</v>
      </c>
      <c r="B51" s="10" t="s">
        <v>692</v>
      </c>
      <c r="C51" s="10" t="s">
        <v>95</v>
      </c>
      <c r="D51" s="146"/>
      <c r="E51" s="10" t="s">
        <v>92</v>
      </c>
      <c r="F51" s="19" t="s">
        <v>26</v>
      </c>
      <c r="G51" s="161" t="s">
        <v>680</v>
      </c>
      <c r="H51" s="177" t="s">
        <v>652</v>
      </c>
      <c r="J51" s="176" t="b">
        <f>EXACT(G51,'Vh5205_C-98'!G51)</f>
        <v>1</v>
      </c>
    </row>
    <row r="52" spans="1:10" s="7" customFormat="1" x14ac:dyDescent="0.35">
      <c r="A52" s="90">
        <v>49</v>
      </c>
      <c r="B52" s="10" t="s">
        <v>692</v>
      </c>
      <c r="C52" s="10" t="s">
        <v>96</v>
      </c>
      <c r="D52" s="146"/>
      <c r="E52" s="10" t="s">
        <v>92</v>
      </c>
      <c r="F52" s="19" t="s">
        <v>26</v>
      </c>
      <c r="G52" s="161" t="s">
        <v>681</v>
      </c>
      <c r="H52" s="177" t="s">
        <v>652</v>
      </c>
      <c r="J52" s="176" t="b">
        <f>EXACT(G52,'Vh5205_C-98'!G52)</f>
        <v>1</v>
      </c>
    </row>
    <row r="53" spans="1:10" s="7" customFormat="1" x14ac:dyDescent="0.35">
      <c r="A53" s="90">
        <v>50</v>
      </c>
      <c r="B53" s="10" t="s">
        <v>692</v>
      </c>
      <c r="C53" s="10" t="s">
        <v>149</v>
      </c>
      <c r="D53" s="146"/>
      <c r="E53" s="10"/>
      <c r="F53" s="19" t="s">
        <v>26</v>
      </c>
      <c r="G53" s="161" t="s">
        <v>681</v>
      </c>
      <c r="H53" s="177" t="s">
        <v>652</v>
      </c>
      <c r="J53" s="176" t="b">
        <f>EXACT(G53,'Vh5205_C-98'!G53)</f>
        <v>1</v>
      </c>
    </row>
    <row r="54" spans="1:10" s="7" customFormat="1" x14ac:dyDescent="0.35">
      <c r="A54" s="90">
        <v>51</v>
      </c>
      <c r="B54" s="10" t="s">
        <v>692</v>
      </c>
      <c r="C54" s="10" t="s">
        <v>148</v>
      </c>
      <c r="D54" s="10"/>
      <c r="E54" s="10"/>
      <c r="F54" s="19" t="s">
        <v>79</v>
      </c>
      <c r="G54" s="161" t="s">
        <v>467</v>
      </c>
      <c r="H54" s="177" t="s">
        <v>652</v>
      </c>
      <c r="J54" s="176" t="b">
        <f>EXACT(G54,'Vh5205_C-98'!G54)</f>
        <v>1</v>
      </c>
    </row>
    <row r="55" spans="1:10" s="7" customFormat="1" x14ac:dyDescent="0.35">
      <c r="A55" s="90">
        <v>52</v>
      </c>
      <c r="B55" s="10" t="s">
        <v>692</v>
      </c>
      <c r="C55" s="10" t="s">
        <v>100</v>
      </c>
      <c r="D55" s="146"/>
      <c r="E55" s="10"/>
      <c r="F55" s="19" t="s">
        <v>79</v>
      </c>
      <c r="G55" s="192"/>
      <c r="H55" s="177"/>
      <c r="J55" s="1" t="b">
        <f>EXACT(G55,'Vh5205_C-98'!G55)</f>
        <v>1</v>
      </c>
    </row>
    <row r="56" spans="1:10" s="7" customFormat="1" x14ac:dyDescent="0.35">
      <c r="A56" s="90">
        <v>53</v>
      </c>
      <c r="B56" s="13" t="s">
        <v>692</v>
      </c>
      <c r="C56" s="13" t="s">
        <v>101</v>
      </c>
      <c r="D56" s="87"/>
      <c r="E56" s="13"/>
      <c r="F56" s="22" t="s">
        <v>79</v>
      </c>
      <c r="G56" s="194"/>
      <c r="H56" s="180"/>
      <c r="J56" s="1" t="b">
        <f>EXACT(G56,'Vh5205_C-98'!G56)</f>
        <v>1</v>
      </c>
    </row>
    <row r="57" spans="1:10" s="7" customFormat="1" x14ac:dyDescent="0.35">
      <c r="A57" s="90">
        <v>54</v>
      </c>
      <c r="B57" s="102" t="s">
        <v>693</v>
      </c>
      <c r="C57" s="102" t="s">
        <v>93</v>
      </c>
      <c r="D57" s="146"/>
      <c r="E57" s="10"/>
      <c r="F57" s="19" t="s">
        <v>26</v>
      </c>
      <c r="G57" s="161" t="s">
        <v>483</v>
      </c>
      <c r="H57" s="177" t="s">
        <v>652</v>
      </c>
      <c r="J57" s="176" t="b">
        <f>EXACT(G57,'Vh5205_C-98'!G57)</f>
        <v>1</v>
      </c>
    </row>
    <row r="58" spans="1:10" s="7" customFormat="1" x14ac:dyDescent="0.35">
      <c r="A58" s="90">
        <v>55</v>
      </c>
      <c r="B58" s="10" t="s">
        <v>693</v>
      </c>
      <c r="C58" s="10" t="s">
        <v>104</v>
      </c>
      <c r="D58" s="146"/>
      <c r="E58" s="10" t="s">
        <v>51</v>
      </c>
      <c r="F58" s="19" t="s">
        <v>26</v>
      </c>
      <c r="G58" s="161" t="s">
        <v>524</v>
      </c>
      <c r="H58" s="177" t="s">
        <v>652</v>
      </c>
      <c r="J58" s="176" t="b">
        <f>EXACT(G58,'Vh5205_C-98'!G58)</f>
        <v>1</v>
      </c>
    </row>
    <row r="59" spans="1:10" s="7" customFormat="1" x14ac:dyDescent="0.35">
      <c r="A59" s="90">
        <v>56</v>
      </c>
      <c r="B59" s="104" t="s">
        <v>693</v>
      </c>
      <c r="C59" s="104" t="s">
        <v>418</v>
      </c>
      <c r="D59" s="104"/>
      <c r="E59" s="104"/>
      <c r="F59" s="19" t="s">
        <v>26</v>
      </c>
      <c r="G59" s="161" t="s">
        <v>524</v>
      </c>
      <c r="H59" s="177" t="s">
        <v>652</v>
      </c>
      <c r="J59" s="176" t="b">
        <f>EXACT(G59,'Vh5205_C-98'!G59)</f>
        <v>1</v>
      </c>
    </row>
    <row r="60" spans="1:10" s="7" customFormat="1" x14ac:dyDescent="0.35">
      <c r="A60" s="90">
        <v>57</v>
      </c>
      <c r="B60" s="10" t="s">
        <v>693</v>
      </c>
      <c r="C60" s="10" t="s">
        <v>103</v>
      </c>
      <c r="D60" s="146"/>
      <c r="E60" s="10"/>
      <c r="F60" s="19" t="s">
        <v>79</v>
      </c>
      <c r="G60" s="161" t="s">
        <v>524</v>
      </c>
      <c r="H60" s="177" t="s">
        <v>652</v>
      </c>
      <c r="J60" s="176" t="b">
        <f>EXACT(G60,'Vh5205_C-98'!G60)</f>
        <v>1</v>
      </c>
    </row>
    <row r="61" spans="1:10" s="7" customFormat="1" x14ac:dyDescent="0.35">
      <c r="A61" s="90">
        <v>58</v>
      </c>
      <c r="B61" s="10" t="s">
        <v>693</v>
      </c>
      <c r="C61" s="10" t="s">
        <v>125</v>
      </c>
      <c r="D61" s="146"/>
      <c r="E61" s="10" t="s">
        <v>1</v>
      </c>
      <c r="F61" s="19" t="s">
        <v>79</v>
      </c>
      <c r="G61" s="161"/>
      <c r="H61" s="177"/>
      <c r="J61" s="2" t="b">
        <f>EXACT(G61,'Vh5205_C-98'!G61)</f>
        <v>1</v>
      </c>
    </row>
    <row r="62" spans="1:10" s="7" customFormat="1" x14ac:dyDescent="0.35">
      <c r="A62" s="90">
        <v>59</v>
      </c>
      <c r="B62" s="10" t="s">
        <v>693</v>
      </c>
      <c r="C62" s="10" t="s">
        <v>62</v>
      </c>
      <c r="D62" s="146"/>
      <c r="E62" s="10" t="s">
        <v>51</v>
      </c>
      <c r="F62" s="19" t="s">
        <v>79</v>
      </c>
      <c r="G62" s="161"/>
      <c r="H62" s="177"/>
      <c r="J62" s="1" t="b">
        <f>EXACT(G62,'Vh5205_C-98'!G62)</f>
        <v>1</v>
      </c>
    </row>
    <row r="63" spans="1:10" s="7" customFormat="1" x14ac:dyDescent="0.35">
      <c r="A63" s="90">
        <v>60</v>
      </c>
      <c r="B63" s="10" t="s">
        <v>693</v>
      </c>
      <c r="C63" s="10" t="s">
        <v>63</v>
      </c>
      <c r="D63" s="146"/>
      <c r="E63" s="10" t="s">
        <v>51</v>
      </c>
      <c r="F63" s="19" t="s">
        <v>79</v>
      </c>
      <c r="G63" s="161"/>
      <c r="H63" s="177"/>
      <c r="J63" s="1" t="b">
        <f>EXACT(G63,'Vh5205_C-98'!G63)</f>
        <v>1</v>
      </c>
    </row>
    <row r="64" spans="1:10" s="7" customFormat="1" x14ac:dyDescent="0.35">
      <c r="A64" s="90">
        <v>61</v>
      </c>
      <c r="B64" s="10" t="s">
        <v>693</v>
      </c>
      <c r="C64" s="10" t="s">
        <v>126</v>
      </c>
      <c r="D64" s="146"/>
      <c r="E64" s="10"/>
      <c r="F64" s="19" t="s">
        <v>79</v>
      </c>
      <c r="G64" s="161"/>
      <c r="H64" s="177"/>
      <c r="J64" s="1" t="b">
        <f>EXACT(G64,'Vh5205_C-98'!G64)</f>
        <v>1</v>
      </c>
    </row>
    <row r="65" spans="1:10" s="7" customFormat="1" x14ac:dyDescent="0.35">
      <c r="A65" s="90">
        <v>62</v>
      </c>
      <c r="B65" s="10" t="s">
        <v>693</v>
      </c>
      <c r="C65" s="10" t="s">
        <v>52</v>
      </c>
      <c r="D65" s="146"/>
      <c r="E65" s="10"/>
      <c r="F65" s="19" t="s">
        <v>79</v>
      </c>
      <c r="G65" s="161"/>
      <c r="H65" s="177"/>
      <c r="J65" s="1" t="b">
        <f>EXACT(G65,'Vh5205_C-98'!G65)</f>
        <v>1</v>
      </c>
    </row>
    <row r="66" spans="1:10" s="7" customFormat="1" x14ac:dyDescent="0.35">
      <c r="A66" s="90">
        <v>63</v>
      </c>
      <c r="B66" s="10" t="s">
        <v>693</v>
      </c>
      <c r="C66" s="10" t="s">
        <v>189</v>
      </c>
      <c r="D66" s="146"/>
      <c r="E66" s="10"/>
      <c r="F66" s="19" t="s">
        <v>79</v>
      </c>
      <c r="G66" s="161" t="s">
        <v>682</v>
      </c>
      <c r="H66" s="177" t="s">
        <v>652</v>
      </c>
      <c r="J66" s="176" t="b">
        <f>EXACT(G66,'Vh5205_C-98'!G66)</f>
        <v>1</v>
      </c>
    </row>
    <row r="67" spans="1:10" s="7" customFormat="1" x14ac:dyDescent="0.35">
      <c r="A67" s="90">
        <v>64</v>
      </c>
      <c r="B67" s="10" t="s">
        <v>693</v>
      </c>
      <c r="C67" s="10" t="s">
        <v>190</v>
      </c>
      <c r="D67" s="146"/>
      <c r="E67" s="10"/>
      <c r="F67" s="19" t="s">
        <v>79</v>
      </c>
      <c r="G67" s="192"/>
      <c r="H67" s="177"/>
      <c r="J67" s="1" t="b">
        <f>EXACT(G67,'Vh5205_C-98'!G67)</f>
        <v>1</v>
      </c>
    </row>
    <row r="68" spans="1:10" s="7" customFormat="1" x14ac:dyDescent="0.35">
      <c r="A68" s="90">
        <v>65</v>
      </c>
      <c r="B68" s="10" t="s">
        <v>693</v>
      </c>
      <c r="C68" s="10" t="s">
        <v>382</v>
      </c>
      <c r="D68" s="146"/>
      <c r="E68" s="10"/>
      <c r="F68" s="19" t="s">
        <v>79</v>
      </c>
      <c r="G68" s="161" t="s">
        <v>620</v>
      </c>
      <c r="H68" s="177" t="s">
        <v>652</v>
      </c>
      <c r="J68" s="176" t="b">
        <f>EXACT(G68,'Vh5205_C-98'!G68)</f>
        <v>1</v>
      </c>
    </row>
    <row r="69" spans="1:10" s="7" customFormat="1" ht="31" x14ac:dyDescent="0.35">
      <c r="A69" s="90">
        <v>66</v>
      </c>
      <c r="B69" s="10" t="s">
        <v>693</v>
      </c>
      <c r="C69" s="10" t="s">
        <v>419</v>
      </c>
      <c r="D69" s="146"/>
      <c r="E69" s="10" t="s">
        <v>480</v>
      </c>
      <c r="F69" s="19" t="s">
        <v>26</v>
      </c>
      <c r="G69" s="161" t="s">
        <v>650</v>
      </c>
      <c r="H69" s="177" t="s">
        <v>652</v>
      </c>
      <c r="J69" s="176" t="b">
        <f>EXACT(G69,'Vh5205_C-98'!G69)</f>
        <v>1</v>
      </c>
    </row>
    <row r="70" spans="1:10" s="7" customFormat="1" ht="31" x14ac:dyDescent="0.35">
      <c r="A70" s="90">
        <v>67</v>
      </c>
      <c r="B70" s="104" t="s">
        <v>693</v>
      </c>
      <c r="C70" s="104" t="s">
        <v>420</v>
      </c>
      <c r="D70" s="104"/>
      <c r="E70" s="104"/>
      <c r="F70" s="19" t="s">
        <v>26</v>
      </c>
      <c r="G70" s="161" t="s">
        <v>717</v>
      </c>
      <c r="H70" s="177" t="s">
        <v>652</v>
      </c>
      <c r="J70" s="176" t="b">
        <f>EXACT(G70,'Vh5205_C-98'!G70)</f>
        <v>1</v>
      </c>
    </row>
    <row r="71" spans="1:10" s="7" customFormat="1" x14ac:dyDescent="0.35">
      <c r="A71" s="90">
        <v>68</v>
      </c>
      <c r="B71" s="104" t="s">
        <v>693</v>
      </c>
      <c r="C71" s="104" t="s">
        <v>421</v>
      </c>
      <c r="D71" s="107"/>
      <c r="E71" s="107"/>
      <c r="F71" s="22" t="s">
        <v>79</v>
      </c>
      <c r="G71" s="196"/>
      <c r="H71" s="180"/>
      <c r="J71" s="1" t="b">
        <f>EXACT(G71,'Vh5205_C-98'!G71)</f>
        <v>1</v>
      </c>
    </row>
    <row r="72" spans="1:10" s="7" customFormat="1" x14ac:dyDescent="0.35">
      <c r="A72" s="90">
        <v>69</v>
      </c>
      <c r="B72" s="102" t="s">
        <v>694</v>
      </c>
      <c r="C72" s="102" t="s">
        <v>422</v>
      </c>
      <c r="D72" s="10"/>
      <c r="E72" s="10"/>
      <c r="F72" s="19" t="s">
        <v>79</v>
      </c>
      <c r="G72" s="161"/>
      <c r="H72" s="177"/>
      <c r="J72" s="1" t="b">
        <f>EXACT(G72,'Vh5205_C-98'!G72)</f>
        <v>1</v>
      </c>
    </row>
    <row r="73" spans="1:10" s="7" customFormat="1" x14ac:dyDescent="0.35">
      <c r="A73" s="90">
        <v>70</v>
      </c>
      <c r="B73" s="13" t="s">
        <v>694</v>
      </c>
      <c r="C73" s="13" t="s">
        <v>102</v>
      </c>
      <c r="D73" s="87"/>
      <c r="E73" s="13"/>
      <c r="F73" s="22" t="s">
        <v>79</v>
      </c>
      <c r="G73" s="196"/>
      <c r="H73" s="180"/>
      <c r="J73" s="1" t="b">
        <f>EXACT(G73,'Vh5205_C-98'!G73)</f>
        <v>1</v>
      </c>
    </row>
    <row r="74" spans="1:10" s="7" customFormat="1" x14ac:dyDescent="0.35">
      <c r="A74" s="90">
        <v>71</v>
      </c>
      <c r="B74" s="10" t="s">
        <v>695</v>
      </c>
      <c r="C74" s="10" t="s">
        <v>127</v>
      </c>
      <c r="D74" s="146"/>
      <c r="E74" s="10" t="s">
        <v>4</v>
      </c>
      <c r="F74" s="19" t="s">
        <v>79</v>
      </c>
      <c r="G74" s="161"/>
      <c r="H74" s="177"/>
      <c r="J74" s="1" t="b">
        <f>EXACT(G74,'Vh5205_C-98'!G74)</f>
        <v>1</v>
      </c>
    </row>
    <row r="75" spans="1:10" s="7" customFormat="1" x14ac:dyDescent="0.35">
      <c r="A75" s="90">
        <v>72</v>
      </c>
      <c r="B75" s="10" t="s">
        <v>695</v>
      </c>
      <c r="C75" s="10" t="s">
        <v>298</v>
      </c>
      <c r="D75" s="146"/>
      <c r="E75" s="10" t="s">
        <v>4</v>
      </c>
      <c r="F75" s="19" t="s">
        <v>79</v>
      </c>
      <c r="G75" s="192" t="s">
        <v>655</v>
      </c>
      <c r="H75" s="177" t="s">
        <v>652</v>
      </c>
      <c r="J75" s="176" t="b">
        <f>EXACT(G75,'Vh5205_C-98'!G75)</f>
        <v>1</v>
      </c>
    </row>
    <row r="76" spans="1:10" s="7" customFormat="1" x14ac:dyDescent="0.35">
      <c r="A76" s="90">
        <v>73</v>
      </c>
      <c r="B76" s="10" t="s">
        <v>695</v>
      </c>
      <c r="C76" s="10" t="s">
        <v>115</v>
      </c>
      <c r="D76" s="146"/>
      <c r="E76" s="10"/>
      <c r="F76" s="22" t="s">
        <v>79</v>
      </c>
      <c r="G76" s="196"/>
      <c r="H76" s="180"/>
      <c r="J76" s="1" t="b">
        <f>EXACT(G76,'Vh5205_C-98'!G76)</f>
        <v>1</v>
      </c>
    </row>
    <row r="77" spans="1:10" x14ac:dyDescent="0.35">
      <c r="A77" s="90">
        <v>74</v>
      </c>
      <c r="B77" s="100" t="s">
        <v>696</v>
      </c>
      <c r="C77" s="100" t="s">
        <v>43</v>
      </c>
      <c r="D77" s="100"/>
      <c r="E77" s="100"/>
      <c r="F77" s="19" t="s">
        <v>79</v>
      </c>
      <c r="G77" s="161" t="s">
        <v>515</v>
      </c>
      <c r="H77" s="140"/>
      <c r="J77" s="1" t="b">
        <f>EXACT(G77,'Vh5205_C-98'!G77)</f>
        <v>0</v>
      </c>
    </row>
    <row r="78" spans="1:10" x14ac:dyDescent="0.35">
      <c r="A78" s="90">
        <v>75</v>
      </c>
      <c r="B78" s="146" t="s">
        <v>696</v>
      </c>
      <c r="C78" s="146" t="s">
        <v>114</v>
      </c>
      <c r="D78" s="146"/>
      <c r="E78" s="146"/>
      <c r="F78" s="19" t="s">
        <v>79</v>
      </c>
      <c r="G78" s="161"/>
      <c r="H78" s="140"/>
      <c r="J78" s="1" t="b">
        <f>EXACT(G78,'Vh5205_C-98'!G78)</f>
        <v>1</v>
      </c>
    </row>
    <row r="79" spans="1:10" x14ac:dyDescent="0.35">
      <c r="A79" s="90">
        <v>76</v>
      </c>
      <c r="B79" s="10" t="s">
        <v>696</v>
      </c>
      <c r="C79" s="10" t="s">
        <v>338</v>
      </c>
      <c r="D79" s="146"/>
      <c r="E79" s="146"/>
      <c r="F79" s="19" t="s">
        <v>79</v>
      </c>
      <c r="G79" s="192" t="s">
        <v>615</v>
      </c>
      <c r="H79" s="140" t="s">
        <v>652</v>
      </c>
      <c r="J79" s="176" t="b">
        <f>EXACT(G79,'Vh5205_C-98'!G79)</f>
        <v>1</v>
      </c>
    </row>
    <row r="80" spans="1:10" x14ac:dyDescent="0.35">
      <c r="A80" s="90">
        <v>77</v>
      </c>
      <c r="B80" s="10" t="s">
        <v>696</v>
      </c>
      <c r="C80" s="10" t="s">
        <v>150</v>
      </c>
      <c r="D80" s="146"/>
      <c r="E80" s="146"/>
      <c r="F80" s="19" t="s">
        <v>26</v>
      </c>
      <c r="G80" s="192" t="s">
        <v>612</v>
      </c>
      <c r="H80" s="140" t="s">
        <v>652</v>
      </c>
      <c r="J80" s="176" t="b">
        <f>EXACT(G80,'Vh5205_C-98'!G80)</f>
        <v>1</v>
      </c>
    </row>
    <row r="81" spans="1:10" x14ac:dyDescent="0.35">
      <c r="A81" s="90">
        <v>78</v>
      </c>
      <c r="B81" s="10" t="s">
        <v>696</v>
      </c>
      <c r="C81" s="10" t="s">
        <v>152</v>
      </c>
      <c r="D81" s="146"/>
      <c r="E81" s="146"/>
      <c r="F81" s="19" t="s">
        <v>26</v>
      </c>
      <c r="G81" s="192" t="s">
        <v>267</v>
      </c>
      <c r="H81" s="140" t="s">
        <v>652</v>
      </c>
      <c r="J81" s="176" t="b">
        <f>EXACT(G81,'Vh5205_C-98'!G81)</f>
        <v>1</v>
      </c>
    </row>
    <row r="82" spans="1:10" x14ac:dyDescent="0.35">
      <c r="A82" s="90">
        <v>79</v>
      </c>
      <c r="B82" s="10" t="s">
        <v>696</v>
      </c>
      <c r="C82" s="10" t="s">
        <v>153</v>
      </c>
      <c r="D82" s="146"/>
      <c r="E82" s="146"/>
      <c r="F82" s="19" t="s">
        <v>26</v>
      </c>
      <c r="G82" s="192" t="s">
        <v>268</v>
      </c>
      <c r="H82" s="140" t="s">
        <v>652</v>
      </c>
      <c r="J82" s="176" t="b">
        <f>EXACT(G82,'Vh5205_C-98'!G82)</f>
        <v>1</v>
      </c>
    </row>
    <row r="83" spans="1:10" ht="31" x14ac:dyDescent="0.35">
      <c r="A83" s="90">
        <v>80</v>
      </c>
      <c r="B83" s="10" t="s">
        <v>696</v>
      </c>
      <c r="C83" s="10" t="s">
        <v>9</v>
      </c>
      <c r="D83" s="146"/>
      <c r="E83" s="146"/>
      <c r="F83" s="19" t="s">
        <v>26</v>
      </c>
      <c r="G83" s="161" t="s">
        <v>715</v>
      </c>
      <c r="H83" s="140" t="s">
        <v>652</v>
      </c>
      <c r="J83" s="176" t="b">
        <f>EXACT(G83,'Vh5205_C-98'!G83)</f>
        <v>1</v>
      </c>
    </row>
    <row r="84" spans="1:10" x14ac:dyDescent="0.35">
      <c r="A84" s="90">
        <v>81</v>
      </c>
      <c r="B84" s="10" t="s">
        <v>696</v>
      </c>
      <c r="C84" s="10" t="s">
        <v>339</v>
      </c>
      <c r="D84" s="146"/>
      <c r="E84" s="146"/>
      <c r="F84" s="19" t="s">
        <v>26</v>
      </c>
      <c r="G84" s="161" t="s">
        <v>718</v>
      </c>
      <c r="H84" s="140" t="s">
        <v>652</v>
      </c>
      <c r="J84" s="176" t="b">
        <f>EXACT(G84,'Vh5205_C-98'!G84)</f>
        <v>1</v>
      </c>
    </row>
    <row r="85" spans="1:10" ht="31" x14ac:dyDescent="0.35">
      <c r="A85" s="90">
        <v>82</v>
      </c>
      <c r="B85" s="10" t="s">
        <v>696</v>
      </c>
      <c r="C85" s="10" t="s">
        <v>573</v>
      </c>
      <c r="D85" s="146"/>
      <c r="E85" s="146"/>
      <c r="F85" s="19" t="s">
        <v>26</v>
      </c>
      <c r="G85" s="161" t="s">
        <v>537</v>
      </c>
      <c r="H85" s="140" t="s">
        <v>652</v>
      </c>
      <c r="J85" s="176" t="b">
        <f>EXACT(G85,'Vh5205_C-98'!G85)</f>
        <v>1</v>
      </c>
    </row>
    <row r="86" spans="1:10" s="7" customFormat="1" ht="46.5" x14ac:dyDescent="0.35">
      <c r="A86" s="90">
        <v>83</v>
      </c>
      <c r="B86" s="13" t="s">
        <v>696</v>
      </c>
      <c r="C86" s="13" t="s">
        <v>133</v>
      </c>
      <c r="D86" s="87"/>
      <c r="E86" s="87" t="s">
        <v>51</v>
      </c>
      <c r="F86" s="22" t="s">
        <v>79</v>
      </c>
      <c r="G86" s="196" t="s">
        <v>651</v>
      </c>
      <c r="H86" s="182" t="s">
        <v>652</v>
      </c>
      <c r="J86" s="176" t="b">
        <f>EXACT(G86,'Vh5205_C-98'!G86)</f>
        <v>1</v>
      </c>
    </row>
    <row r="87" spans="1:10" x14ac:dyDescent="0.35">
      <c r="A87" s="90">
        <v>84</v>
      </c>
      <c r="B87" s="146" t="s">
        <v>697</v>
      </c>
      <c r="C87" s="146" t="s">
        <v>299</v>
      </c>
      <c r="D87" s="94"/>
      <c r="E87" s="146"/>
      <c r="F87" s="19" t="s">
        <v>79</v>
      </c>
      <c r="G87" s="204" t="s">
        <v>502</v>
      </c>
      <c r="H87" s="140" t="s">
        <v>652</v>
      </c>
      <c r="J87" s="176" t="b">
        <f>EXACT(G87,'Vh5205_C-98'!G87)</f>
        <v>1</v>
      </c>
    </row>
    <row r="88" spans="1:10" x14ac:dyDescent="0.35">
      <c r="A88" s="90">
        <v>85</v>
      </c>
      <c r="B88" s="10" t="s">
        <v>697</v>
      </c>
      <c r="C88" s="10" t="s">
        <v>300</v>
      </c>
      <c r="D88" s="94"/>
      <c r="E88" s="146"/>
      <c r="F88" s="19" t="s">
        <v>79</v>
      </c>
      <c r="G88" s="192" t="s">
        <v>617</v>
      </c>
      <c r="H88" s="140" t="s">
        <v>652</v>
      </c>
      <c r="J88" s="176" t="b">
        <f>EXACT(G88,'Vh5205_C-98'!G88)</f>
        <v>1</v>
      </c>
    </row>
    <row r="89" spans="1:10" x14ac:dyDescent="0.35">
      <c r="A89" s="90">
        <v>86</v>
      </c>
      <c r="B89" s="10" t="s">
        <v>697</v>
      </c>
      <c r="C89" s="10" t="s">
        <v>156</v>
      </c>
      <c r="D89" s="146"/>
      <c r="E89" s="146" t="s">
        <v>0</v>
      </c>
      <c r="F89" s="19" t="s">
        <v>79</v>
      </c>
      <c r="G89" s="192">
        <v>1</v>
      </c>
      <c r="H89" s="140" t="s">
        <v>652</v>
      </c>
      <c r="J89" s="176" t="b">
        <f>EXACT(G89,'Vh5205_C-98'!G89)</f>
        <v>1</v>
      </c>
    </row>
    <row r="90" spans="1:10" x14ac:dyDescent="0.35">
      <c r="A90" s="90">
        <v>87</v>
      </c>
      <c r="B90" s="10" t="s">
        <v>697</v>
      </c>
      <c r="C90" s="10" t="s">
        <v>132</v>
      </c>
      <c r="D90" s="146"/>
      <c r="E90" s="146" t="s">
        <v>0</v>
      </c>
      <c r="F90" s="19" t="s">
        <v>79</v>
      </c>
      <c r="G90" s="192">
        <v>20</v>
      </c>
      <c r="H90" s="140" t="s">
        <v>652</v>
      </c>
      <c r="J90" s="176" t="b">
        <f>EXACT(G90,'Vh5205_C-98'!G90)</f>
        <v>1</v>
      </c>
    </row>
    <row r="91" spans="1:10" s="7" customFormat="1" x14ac:dyDescent="0.35">
      <c r="A91" s="90">
        <v>88</v>
      </c>
      <c r="B91" s="10" t="s">
        <v>697</v>
      </c>
      <c r="C91" s="10" t="s">
        <v>343</v>
      </c>
      <c r="D91" s="146"/>
      <c r="E91" s="146"/>
      <c r="F91" s="20" t="s">
        <v>26</v>
      </c>
      <c r="G91" s="161" t="s">
        <v>625</v>
      </c>
      <c r="H91" s="140" t="s">
        <v>652</v>
      </c>
      <c r="J91" s="176" t="b">
        <f>EXACT(G91,'Vh5205_C-98'!G91)</f>
        <v>1</v>
      </c>
    </row>
    <row r="92" spans="1:10" s="7" customFormat="1" ht="31" x14ac:dyDescent="0.35">
      <c r="A92" s="90">
        <v>89</v>
      </c>
      <c r="B92" s="10" t="s">
        <v>697</v>
      </c>
      <c r="C92" s="10" t="s">
        <v>425</v>
      </c>
      <c r="D92" s="146"/>
      <c r="E92" s="146"/>
      <c r="F92" s="20" t="s">
        <v>26</v>
      </c>
      <c r="G92" s="161" t="s">
        <v>621</v>
      </c>
      <c r="H92" s="140" t="s">
        <v>652</v>
      </c>
      <c r="J92" s="176" t="b">
        <f>EXACT(G92,'Vh5205_C-98'!G92)</f>
        <v>1</v>
      </c>
    </row>
    <row r="93" spans="1:10" ht="31" x14ac:dyDescent="0.35">
      <c r="A93" s="90">
        <v>90</v>
      </c>
      <c r="B93" s="87" t="s">
        <v>697</v>
      </c>
      <c r="C93" s="87" t="s">
        <v>157</v>
      </c>
      <c r="D93" s="87"/>
      <c r="E93" s="87"/>
      <c r="F93" s="21" t="s">
        <v>26</v>
      </c>
      <c r="G93" s="196" t="s">
        <v>719</v>
      </c>
      <c r="H93" s="182" t="s">
        <v>652</v>
      </c>
      <c r="J93" s="176" t="b">
        <f>EXACT(G93,'Vh5205_C-98'!G93)</f>
        <v>1</v>
      </c>
    </row>
    <row r="94" spans="1:10" s="7" customFormat="1" x14ac:dyDescent="0.35">
      <c r="A94" s="90">
        <v>91</v>
      </c>
      <c r="B94" s="10" t="s">
        <v>698</v>
      </c>
      <c r="C94" s="10" t="s">
        <v>159</v>
      </c>
      <c r="D94" s="146"/>
      <c r="E94" s="146"/>
      <c r="F94" s="19" t="s">
        <v>79</v>
      </c>
      <c r="G94" s="197" t="s">
        <v>385</v>
      </c>
      <c r="H94" s="140" t="s">
        <v>652</v>
      </c>
      <c r="J94" s="176" t="b">
        <f>EXACT(G94,'Vh5205_C-98'!G94)</f>
        <v>1</v>
      </c>
    </row>
    <row r="95" spans="1:10" s="7" customFormat="1" x14ac:dyDescent="0.35">
      <c r="A95" s="90">
        <v>92</v>
      </c>
      <c r="B95" s="146" t="s">
        <v>698</v>
      </c>
      <c r="C95" s="146" t="s">
        <v>426</v>
      </c>
      <c r="D95" s="146"/>
      <c r="E95" s="146"/>
      <c r="F95" s="19" t="s">
        <v>79</v>
      </c>
      <c r="G95" s="205" t="s">
        <v>391</v>
      </c>
      <c r="H95" s="140" t="s">
        <v>652</v>
      </c>
      <c r="J95" s="176" t="b">
        <f>EXACT(G95,'Vh5205_C-98'!G95)</f>
        <v>1</v>
      </c>
    </row>
    <row r="96" spans="1:10" s="7" customFormat="1" x14ac:dyDescent="0.35">
      <c r="A96" s="90">
        <v>93</v>
      </c>
      <c r="B96" s="146" t="s">
        <v>698</v>
      </c>
      <c r="C96" s="146" t="s">
        <v>386</v>
      </c>
      <c r="D96" s="146"/>
      <c r="E96" s="146"/>
      <c r="F96" s="19" t="s">
        <v>26</v>
      </c>
      <c r="G96" s="198" t="s">
        <v>387</v>
      </c>
      <c r="H96" s="140" t="s">
        <v>652</v>
      </c>
      <c r="J96" s="176" t="b">
        <f>EXACT(G96,'Vh5205_C-98'!G96)</f>
        <v>1</v>
      </c>
    </row>
    <row r="97" spans="1:10" s="7" customFormat="1" x14ac:dyDescent="0.35">
      <c r="A97" s="90">
        <v>94</v>
      </c>
      <c r="B97" s="146" t="s">
        <v>698</v>
      </c>
      <c r="C97" s="146" t="s">
        <v>105</v>
      </c>
      <c r="D97" s="146"/>
      <c r="E97" s="146"/>
      <c r="F97" s="19" t="s">
        <v>26</v>
      </c>
      <c r="G97" s="161" t="s">
        <v>656</v>
      </c>
      <c r="H97" s="140" t="s">
        <v>652</v>
      </c>
      <c r="J97" s="176" t="b">
        <f>EXACT(G97,'Vh5205_C-98'!G97)</f>
        <v>1</v>
      </c>
    </row>
    <row r="98" spans="1:10" s="7" customFormat="1" x14ac:dyDescent="0.35">
      <c r="A98" s="90">
        <v>95</v>
      </c>
      <c r="B98" s="87" t="s">
        <v>698</v>
      </c>
      <c r="C98" s="87" t="s">
        <v>160</v>
      </c>
      <c r="D98" s="87"/>
      <c r="E98" s="87"/>
      <c r="F98" s="22" t="s">
        <v>79</v>
      </c>
      <c r="G98" s="194" t="s">
        <v>196</v>
      </c>
      <c r="H98" s="182" t="s">
        <v>652</v>
      </c>
      <c r="J98" s="176" t="b">
        <f>EXACT(G98,'Vh5205_C-98'!G98)</f>
        <v>1</v>
      </c>
    </row>
    <row r="99" spans="1:10" x14ac:dyDescent="0.35">
      <c r="A99" s="90">
        <v>96</v>
      </c>
      <c r="B99" s="10" t="s">
        <v>699</v>
      </c>
      <c r="C99" s="10" t="s">
        <v>428</v>
      </c>
      <c r="D99" s="146"/>
      <c r="E99" s="146"/>
      <c r="F99" s="20" t="s">
        <v>26</v>
      </c>
      <c r="G99" s="206" t="s">
        <v>196</v>
      </c>
      <c r="H99" s="140" t="s">
        <v>652</v>
      </c>
      <c r="J99" s="176" t="b">
        <f>EXACT(G99,'Vh5205_C-98'!G99)</f>
        <v>1</v>
      </c>
    </row>
    <row r="100" spans="1:10" x14ac:dyDescent="0.35">
      <c r="A100" s="90">
        <v>97</v>
      </c>
      <c r="B100" s="104" t="s">
        <v>699</v>
      </c>
      <c r="C100" s="104" t="s">
        <v>161</v>
      </c>
      <c r="D100" s="104"/>
      <c r="E100" s="104"/>
      <c r="F100" s="20" t="s">
        <v>79</v>
      </c>
      <c r="G100" s="192"/>
      <c r="H100" s="140"/>
      <c r="J100" s="1" t="b">
        <f>EXACT(G100,'Vh5205_C-98'!G100)</f>
        <v>1</v>
      </c>
    </row>
    <row r="101" spans="1:10" x14ac:dyDescent="0.35">
      <c r="A101" s="90">
        <v>98</v>
      </c>
      <c r="B101" s="104" t="s">
        <v>699</v>
      </c>
      <c r="C101" s="104" t="s">
        <v>272</v>
      </c>
      <c r="D101" s="104"/>
      <c r="E101" s="104"/>
      <c r="F101" s="20" t="s">
        <v>26</v>
      </c>
      <c r="G101" s="207">
        <v>44778</v>
      </c>
      <c r="H101" s="140" t="s">
        <v>652</v>
      </c>
      <c r="J101" s="176" t="b">
        <f>EXACT(G101,'Vh5205_C-98'!G101)</f>
        <v>1</v>
      </c>
    </row>
    <row r="102" spans="1:10" x14ac:dyDescent="0.35">
      <c r="A102" s="90">
        <v>99</v>
      </c>
      <c r="B102" s="104" t="s">
        <v>699</v>
      </c>
      <c r="C102" s="104" t="s">
        <v>271</v>
      </c>
      <c r="D102" s="104"/>
      <c r="E102" s="104"/>
      <c r="F102" s="20" t="s">
        <v>26</v>
      </c>
      <c r="G102" s="161" t="s">
        <v>503</v>
      </c>
      <c r="H102" s="140" t="s">
        <v>652</v>
      </c>
      <c r="J102" s="176" t="b">
        <f>EXACT(G102,'Vh5205_C-98'!G102)</f>
        <v>1</v>
      </c>
    </row>
    <row r="103" spans="1:10" x14ac:dyDescent="0.35">
      <c r="A103" s="90">
        <v>100</v>
      </c>
      <c r="B103" s="10" t="s">
        <v>699</v>
      </c>
      <c r="C103" s="10" t="s">
        <v>120</v>
      </c>
      <c r="D103" s="146"/>
      <c r="E103" s="146"/>
      <c r="F103" s="20" t="s">
        <v>26</v>
      </c>
      <c r="G103" s="192" t="s">
        <v>270</v>
      </c>
      <c r="H103" s="140" t="s">
        <v>652</v>
      </c>
      <c r="J103" s="176" t="b">
        <f>EXACT(G103,'Vh5205_C-98'!G103)</f>
        <v>1</v>
      </c>
    </row>
    <row r="104" spans="1:10" x14ac:dyDescent="0.35">
      <c r="A104" s="90">
        <v>101</v>
      </c>
      <c r="B104" s="10" t="s">
        <v>699</v>
      </c>
      <c r="C104" s="10" t="s">
        <v>119</v>
      </c>
      <c r="D104" s="146"/>
      <c r="E104" s="146"/>
      <c r="F104" s="20" t="s">
        <v>26</v>
      </c>
      <c r="G104" s="161">
        <v>1</v>
      </c>
      <c r="H104" s="140" t="s">
        <v>652</v>
      </c>
      <c r="J104" s="176" t="b">
        <f>EXACT(G104,'Vh5205_C-98'!G104)</f>
        <v>1</v>
      </c>
    </row>
    <row r="105" spans="1:10" x14ac:dyDescent="0.35">
      <c r="A105" s="90">
        <v>102</v>
      </c>
      <c r="B105" s="10" t="s">
        <v>699</v>
      </c>
      <c r="C105" s="10" t="s">
        <v>121</v>
      </c>
      <c r="D105" s="146"/>
      <c r="E105" s="146" t="s">
        <v>0</v>
      </c>
      <c r="F105" s="20" t="s">
        <v>26</v>
      </c>
      <c r="G105" s="161" t="s">
        <v>487</v>
      </c>
      <c r="H105" s="140" t="s">
        <v>652</v>
      </c>
      <c r="J105" s="176" t="b">
        <f>EXACT(G105,'Vh5205_C-98'!G105)</f>
        <v>1</v>
      </c>
    </row>
    <row r="106" spans="1:10" x14ac:dyDescent="0.35">
      <c r="A106" s="90">
        <v>103</v>
      </c>
      <c r="B106" s="13" t="s">
        <v>699</v>
      </c>
      <c r="C106" s="13" t="s">
        <v>430</v>
      </c>
      <c r="D106" s="87"/>
      <c r="E106" s="87"/>
      <c r="F106" s="22" t="s">
        <v>26</v>
      </c>
      <c r="G106" s="194" t="s">
        <v>196</v>
      </c>
      <c r="H106" s="182" t="s">
        <v>652</v>
      </c>
      <c r="J106" s="176" t="b">
        <f>EXACT(G106,'Vh5205_C-98'!G106)</f>
        <v>1</v>
      </c>
    </row>
    <row r="107" spans="1:10" x14ac:dyDescent="0.35">
      <c r="A107" s="90">
        <v>104</v>
      </c>
      <c r="B107" s="10" t="s">
        <v>700</v>
      </c>
      <c r="C107" s="10" t="s">
        <v>458</v>
      </c>
      <c r="D107" s="146"/>
      <c r="E107" s="146"/>
      <c r="F107" s="20" t="s">
        <v>26</v>
      </c>
      <c r="G107" s="197" t="s">
        <v>196</v>
      </c>
      <c r="H107" s="140" t="s">
        <v>652</v>
      </c>
      <c r="J107" s="176" t="b">
        <f>EXACT(G107,'Vh5205_C-98'!G107)</f>
        <v>1</v>
      </c>
    </row>
    <row r="108" spans="1:10" ht="31" x14ac:dyDescent="0.35">
      <c r="A108" s="90">
        <v>105</v>
      </c>
      <c r="B108" s="104" t="s">
        <v>700</v>
      </c>
      <c r="C108" s="104" t="s">
        <v>459</v>
      </c>
      <c r="D108" s="104"/>
      <c r="E108" s="104"/>
      <c r="F108" s="20" t="s">
        <v>26</v>
      </c>
      <c r="G108" s="161" t="s">
        <v>609</v>
      </c>
      <c r="H108" s="140" t="s">
        <v>652</v>
      </c>
      <c r="J108" s="176" t="b">
        <f>EXACT(G108,'Vh5205_C-98'!G108)</f>
        <v>1</v>
      </c>
    </row>
    <row r="109" spans="1:10" x14ac:dyDescent="0.35">
      <c r="A109" s="90">
        <v>106</v>
      </c>
      <c r="B109" s="104" t="s">
        <v>700</v>
      </c>
      <c r="C109" s="104" t="s">
        <v>161</v>
      </c>
      <c r="D109" s="104"/>
      <c r="E109" s="104"/>
      <c r="F109" s="20" t="s">
        <v>79</v>
      </c>
      <c r="G109" s="161" t="s">
        <v>539</v>
      </c>
      <c r="H109" s="140" t="s">
        <v>652</v>
      </c>
      <c r="J109" s="176" t="b">
        <f>EXACT(G109,'Vh5205_C-98'!G109)</f>
        <v>1</v>
      </c>
    </row>
    <row r="110" spans="1:10" x14ac:dyDescent="0.35">
      <c r="A110" s="90">
        <v>107</v>
      </c>
      <c r="B110" s="104" t="s">
        <v>700</v>
      </c>
      <c r="C110" s="104" t="s">
        <v>272</v>
      </c>
      <c r="D110" s="104"/>
      <c r="E110" s="104"/>
      <c r="F110" s="20" t="s">
        <v>26</v>
      </c>
      <c r="G110" s="207">
        <v>45098</v>
      </c>
      <c r="H110" s="140" t="s">
        <v>652</v>
      </c>
      <c r="J110" s="176" t="b">
        <f>EXACT(G110,'Vh5205_C-98'!G110)</f>
        <v>1</v>
      </c>
    </row>
    <row r="111" spans="1:10" x14ac:dyDescent="0.35">
      <c r="A111" s="90">
        <v>108</v>
      </c>
      <c r="B111" s="104" t="s">
        <v>700</v>
      </c>
      <c r="C111" s="104" t="s">
        <v>271</v>
      </c>
      <c r="D111" s="104"/>
      <c r="E111" s="104"/>
      <c r="F111" s="20" t="s">
        <v>26</v>
      </c>
      <c r="G111" s="192" t="s">
        <v>504</v>
      </c>
      <c r="H111" s="140" t="s">
        <v>652</v>
      </c>
      <c r="J111" s="176" t="b">
        <f>EXACT(G111,'Vh5205_C-98'!G111)</f>
        <v>1</v>
      </c>
    </row>
    <row r="112" spans="1:10" x14ac:dyDescent="0.35">
      <c r="A112" s="90">
        <v>109</v>
      </c>
      <c r="B112" s="10" t="s">
        <v>700</v>
      </c>
      <c r="C112" s="10" t="s">
        <v>120</v>
      </c>
      <c r="D112" s="146"/>
      <c r="E112" s="146"/>
      <c r="F112" s="20" t="s">
        <v>26</v>
      </c>
      <c r="G112" s="192" t="s">
        <v>524</v>
      </c>
      <c r="H112" s="140" t="s">
        <v>652</v>
      </c>
      <c r="J112" s="176" t="b">
        <f>EXACT(G112,'Vh5205_C-98'!G112)</f>
        <v>1</v>
      </c>
    </row>
    <row r="113" spans="1:10" x14ac:dyDescent="0.35">
      <c r="A113" s="90">
        <v>110</v>
      </c>
      <c r="B113" s="10" t="s">
        <v>700</v>
      </c>
      <c r="C113" s="10" t="s">
        <v>119</v>
      </c>
      <c r="D113" s="146"/>
      <c r="E113" s="146"/>
      <c r="F113" s="20" t="s">
        <v>26</v>
      </c>
      <c r="G113" s="192" t="s">
        <v>524</v>
      </c>
      <c r="H113" s="140" t="s">
        <v>652</v>
      </c>
      <c r="J113" s="176" t="b">
        <f>EXACT(G113,'Vh5205_C-98'!G113)</f>
        <v>1</v>
      </c>
    </row>
    <row r="114" spans="1:10" x14ac:dyDescent="0.35">
      <c r="A114" s="90">
        <v>111</v>
      </c>
      <c r="B114" s="13" t="s">
        <v>700</v>
      </c>
      <c r="C114" s="13" t="s">
        <v>121</v>
      </c>
      <c r="D114" s="87"/>
      <c r="E114" s="87" t="s">
        <v>0</v>
      </c>
      <c r="F114" s="21" t="s">
        <v>26</v>
      </c>
      <c r="G114" s="194" t="s">
        <v>505</v>
      </c>
      <c r="H114" s="182" t="s">
        <v>652</v>
      </c>
      <c r="J114" s="176" t="b">
        <f>EXACT(G114,'Vh5205_C-98'!G114)</f>
        <v>1</v>
      </c>
    </row>
    <row r="115" spans="1:10" x14ac:dyDescent="0.35">
      <c r="A115" s="90">
        <v>112</v>
      </c>
      <c r="B115" s="102" t="s">
        <v>701</v>
      </c>
      <c r="C115" s="102" t="s">
        <v>308</v>
      </c>
      <c r="D115" s="146"/>
      <c r="E115" s="146"/>
      <c r="F115" s="39" t="s">
        <v>26</v>
      </c>
      <c r="G115" s="197" t="s">
        <v>347</v>
      </c>
      <c r="H115" s="140" t="s">
        <v>652</v>
      </c>
      <c r="J115" s="176" t="b">
        <f>EXACT(G115,'Vh5205_C-98'!G115)</f>
        <v>1</v>
      </c>
    </row>
    <row r="116" spans="1:10" s="7" customFormat="1" x14ac:dyDescent="0.35">
      <c r="A116" s="90">
        <v>113</v>
      </c>
      <c r="B116" s="13" t="s">
        <v>701</v>
      </c>
      <c r="C116" s="13" t="s">
        <v>163</v>
      </c>
      <c r="D116" s="87"/>
      <c r="E116" s="87"/>
      <c r="F116" s="22" t="s">
        <v>26</v>
      </c>
      <c r="G116" s="194" t="s">
        <v>196</v>
      </c>
      <c r="H116" s="182" t="s">
        <v>652</v>
      </c>
      <c r="J116" s="176" t="b">
        <f>EXACT(G116,'Vh5205_C-98'!G116)</f>
        <v>1</v>
      </c>
    </row>
    <row r="117" spans="1:10" s="7" customFormat="1" x14ac:dyDescent="0.35">
      <c r="A117" s="90">
        <v>114</v>
      </c>
      <c r="B117" s="102" t="s">
        <v>702</v>
      </c>
      <c r="C117" s="102" t="s">
        <v>164</v>
      </c>
      <c r="D117" s="100"/>
      <c r="E117" s="100"/>
      <c r="F117" s="18" t="s">
        <v>26</v>
      </c>
      <c r="G117" s="206" t="s">
        <v>196</v>
      </c>
      <c r="H117" s="140" t="s">
        <v>652</v>
      </c>
      <c r="J117" s="176" t="b">
        <f>EXACT(G117,'Vh5205_C-98'!G117)</f>
        <v>1</v>
      </c>
    </row>
    <row r="118" spans="1:10" s="7" customFormat="1" x14ac:dyDescent="0.35">
      <c r="A118" s="90">
        <v>115</v>
      </c>
      <c r="B118" s="13" t="s">
        <v>702</v>
      </c>
      <c r="C118" s="13" t="s">
        <v>191</v>
      </c>
      <c r="D118" s="87"/>
      <c r="E118" s="87"/>
      <c r="F118" s="22" t="s">
        <v>79</v>
      </c>
      <c r="G118" s="194" t="s">
        <v>196</v>
      </c>
      <c r="H118" s="182" t="s">
        <v>652</v>
      </c>
      <c r="J118" s="176" t="b">
        <f>EXACT(G118,'Vh5205_C-98'!G118)</f>
        <v>1</v>
      </c>
    </row>
    <row r="119" spans="1:10" s="7" customFormat="1" x14ac:dyDescent="0.35">
      <c r="A119" s="90">
        <v>116</v>
      </c>
      <c r="B119" s="146" t="s">
        <v>703</v>
      </c>
      <c r="C119" s="146" t="s">
        <v>106</v>
      </c>
      <c r="D119" s="146"/>
      <c r="E119" s="146"/>
      <c r="F119" s="19" t="s">
        <v>26</v>
      </c>
      <c r="G119" s="197" t="s">
        <v>488</v>
      </c>
      <c r="H119" s="140" t="s">
        <v>652</v>
      </c>
      <c r="J119" s="176" t="b">
        <f>EXACT(G119,'Vh5205_C-98'!G119)</f>
        <v>1</v>
      </c>
    </row>
    <row r="120" spans="1:10" x14ac:dyDescent="0.35">
      <c r="A120" s="90">
        <v>117</v>
      </c>
      <c r="B120" s="146" t="s">
        <v>703</v>
      </c>
      <c r="C120" s="146" t="s">
        <v>434</v>
      </c>
      <c r="D120" s="5"/>
      <c r="E120" s="5"/>
      <c r="F120" s="19" t="s">
        <v>26</v>
      </c>
      <c r="G120" s="161" t="s">
        <v>506</v>
      </c>
      <c r="H120" s="140" t="s">
        <v>652</v>
      </c>
      <c r="J120" s="176" t="b">
        <f>EXACT(G120,'Vh5205_C-98'!G120)</f>
        <v>1</v>
      </c>
    </row>
    <row r="121" spans="1:10" ht="31" x14ac:dyDescent="0.35">
      <c r="A121" s="90">
        <v>118</v>
      </c>
      <c r="B121" s="87" t="s">
        <v>703</v>
      </c>
      <c r="C121" s="87" t="s">
        <v>350</v>
      </c>
      <c r="D121" s="93"/>
      <c r="E121" s="93"/>
      <c r="F121" s="22" t="s">
        <v>26</v>
      </c>
      <c r="G121" s="194" t="s">
        <v>196</v>
      </c>
      <c r="H121" s="182" t="s">
        <v>652</v>
      </c>
      <c r="J121" s="176" t="b">
        <f>EXACT(G121,'Vh5205_C-98'!G121)</f>
        <v>1</v>
      </c>
    </row>
    <row r="122" spans="1:10" x14ac:dyDescent="0.35">
      <c r="A122" s="90">
        <v>119</v>
      </c>
      <c r="B122" s="5" t="s">
        <v>704</v>
      </c>
      <c r="C122" s="5" t="s">
        <v>135</v>
      </c>
      <c r="D122" s="5"/>
      <c r="E122" s="5"/>
      <c r="F122" s="19" t="s">
        <v>26</v>
      </c>
      <c r="G122" s="206" t="s">
        <v>269</v>
      </c>
      <c r="H122" s="140" t="s">
        <v>652</v>
      </c>
      <c r="J122" s="176" t="b">
        <f>EXACT(G122,'Vh5205_C-98'!G122)</f>
        <v>1</v>
      </c>
    </row>
    <row r="123" spans="1:10" s="7" customFormat="1" ht="46.5" x14ac:dyDescent="0.35">
      <c r="A123" s="90">
        <v>120</v>
      </c>
      <c r="B123" s="146" t="s">
        <v>704</v>
      </c>
      <c r="C123" s="146" t="s">
        <v>316</v>
      </c>
      <c r="D123" s="146"/>
      <c r="E123" s="146"/>
      <c r="F123" s="19" t="s">
        <v>79</v>
      </c>
      <c r="G123" s="161" t="s">
        <v>528</v>
      </c>
      <c r="H123" s="177"/>
      <c r="J123" s="1" t="b">
        <f>EXACT(G123,'Vh5205_C-98'!G123)</f>
        <v>1</v>
      </c>
    </row>
    <row r="124" spans="1:10" x14ac:dyDescent="0.35">
      <c r="A124" s="90">
        <v>121</v>
      </c>
      <c r="B124" s="5" t="s">
        <v>704</v>
      </c>
      <c r="C124" s="5" t="s">
        <v>354</v>
      </c>
      <c r="D124" s="5"/>
      <c r="E124" s="5"/>
      <c r="F124" s="19" t="s">
        <v>26</v>
      </c>
      <c r="G124" s="161" t="s">
        <v>205</v>
      </c>
      <c r="H124" s="164" t="s">
        <v>652</v>
      </c>
      <c r="J124" s="176" t="b">
        <f>EXACT(G124,'Vh5205_C-98'!G124)</f>
        <v>1</v>
      </c>
    </row>
    <row r="125" spans="1:10" x14ac:dyDescent="0.35">
      <c r="A125" s="90">
        <v>122</v>
      </c>
      <c r="B125" s="5" t="s">
        <v>704</v>
      </c>
      <c r="C125" s="5" t="s">
        <v>139</v>
      </c>
      <c r="D125" s="5"/>
      <c r="E125" s="5" t="s">
        <v>2</v>
      </c>
      <c r="F125" s="19" t="s">
        <v>79</v>
      </c>
      <c r="G125" s="192" t="s">
        <v>489</v>
      </c>
      <c r="H125" s="164" t="s">
        <v>652</v>
      </c>
      <c r="J125" s="176" t="b">
        <f>EXACT(G125,'Vh5205_C-98'!G125)</f>
        <v>1</v>
      </c>
    </row>
    <row r="126" spans="1:10" x14ac:dyDescent="0.35">
      <c r="A126" s="90">
        <v>123</v>
      </c>
      <c r="B126" s="5" t="s">
        <v>704</v>
      </c>
      <c r="C126" s="5" t="s">
        <v>140</v>
      </c>
      <c r="D126" s="5"/>
      <c r="E126" s="5"/>
      <c r="F126" s="19" t="s">
        <v>79</v>
      </c>
      <c r="G126" s="192" t="s">
        <v>538</v>
      </c>
      <c r="H126" s="164" t="s">
        <v>652</v>
      </c>
      <c r="J126" s="176" t="b">
        <f>EXACT(G126,'Vh5205_C-98'!G126)</f>
        <v>1</v>
      </c>
    </row>
    <row r="127" spans="1:10" s="7" customFormat="1" x14ac:dyDescent="0.35">
      <c r="A127" s="90">
        <v>124</v>
      </c>
      <c r="B127" s="10" t="s">
        <v>704</v>
      </c>
      <c r="C127" s="10" t="s">
        <v>122</v>
      </c>
      <c r="D127" s="146"/>
      <c r="E127" s="146"/>
      <c r="F127" s="20" t="s">
        <v>26</v>
      </c>
      <c r="G127" s="161" t="s">
        <v>196</v>
      </c>
      <c r="H127" s="164" t="s">
        <v>652</v>
      </c>
      <c r="J127" s="176" t="b">
        <f>EXACT(G127,'Vh5205_C-98'!G127)</f>
        <v>1</v>
      </c>
    </row>
    <row r="128" spans="1:10" x14ac:dyDescent="0.35">
      <c r="A128" s="90">
        <v>125</v>
      </c>
      <c r="B128" s="5" t="s">
        <v>704</v>
      </c>
      <c r="C128" s="5" t="s">
        <v>137</v>
      </c>
      <c r="D128" s="5"/>
      <c r="E128" s="5"/>
      <c r="F128" s="19" t="s">
        <v>26</v>
      </c>
      <c r="G128" s="192" t="s">
        <v>359</v>
      </c>
      <c r="H128" s="164" t="s">
        <v>652</v>
      </c>
      <c r="J128" s="176" t="b">
        <f>EXACT(G128,'Vh5205_C-98'!G128)</f>
        <v>1</v>
      </c>
    </row>
    <row r="129" spans="1:10" s="7" customFormat="1" x14ac:dyDescent="0.35">
      <c r="A129" s="90">
        <v>126</v>
      </c>
      <c r="B129" s="146" t="s">
        <v>704</v>
      </c>
      <c r="C129" s="146" t="s">
        <v>120</v>
      </c>
      <c r="D129" s="146"/>
      <c r="E129" s="146"/>
      <c r="F129" s="20" t="s">
        <v>26</v>
      </c>
      <c r="G129" s="161" t="s">
        <v>490</v>
      </c>
      <c r="H129" s="164" t="s">
        <v>652</v>
      </c>
      <c r="J129" s="176" t="b">
        <f>EXACT(G129,'Vh5205_C-98'!G129)</f>
        <v>1</v>
      </c>
    </row>
    <row r="130" spans="1:10" s="7" customFormat="1" x14ac:dyDescent="0.35">
      <c r="A130" s="90">
        <v>127</v>
      </c>
      <c r="B130" s="104" t="s">
        <v>704</v>
      </c>
      <c r="C130" s="104" t="s">
        <v>161</v>
      </c>
      <c r="D130" s="146"/>
      <c r="E130" s="146"/>
      <c r="F130" s="20" t="s">
        <v>79</v>
      </c>
      <c r="G130" s="161" t="s">
        <v>539</v>
      </c>
      <c r="H130" s="164" t="s">
        <v>652</v>
      </c>
      <c r="J130" s="176" t="b">
        <f>EXACT(G130,'Vh5205_C-98'!G130)</f>
        <v>1</v>
      </c>
    </row>
    <row r="131" spans="1:10" s="7" customFormat="1" x14ac:dyDescent="0.35">
      <c r="A131" s="90">
        <v>128</v>
      </c>
      <c r="B131" s="104" t="s">
        <v>704</v>
      </c>
      <c r="C131" s="104" t="s">
        <v>358</v>
      </c>
      <c r="D131" s="146"/>
      <c r="E131" s="146"/>
      <c r="F131" s="20" t="s">
        <v>26</v>
      </c>
      <c r="G131" s="195">
        <v>44781</v>
      </c>
      <c r="H131" s="177"/>
      <c r="J131" s="1" t="b">
        <f>EXACT(G131,'Vh5205_C-98'!G131)</f>
        <v>1</v>
      </c>
    </row>
    <row r="132" spans="1:10" s="7" customFormat="1" x14ac:dyDescent="0.35">
      <c r="A132" s="90">
        <v>129</v>
      </c>
      <c r="B132" s="104" t="s">
        <v>704</v>
      </c>
      <c r="C132" s="104" t="s">
        <v>271</v>
      </c>
      <c r="D132" s="146"/>
      <c r="E132" s="146"/>
      <c r="F132" s="20" t="s">
        <v>26</v>
      </c>
      <c r="G132" s="161" t="s">
        <v>504</v>
      </c>
      <c r="H132" s="177" t="s">
        <v>652</v>
      </c>
      <c r="J132" s="176" t="b">
        <f>EXACT(G132,'Vh5205_C-98'!G132)</f>
        <v>1</v>
      </c>
    </row>
    <row r="133" spans="1:10" ht="46.5" x14ac:dyDescent="0.35">
      <c r="A133" s="90">
        <v>130</v>
      </c>
      <c r="B133" s="91" t="s">
        <v>704</v>
      </c>
      <c r="C133" s="91" t="s">
        <v>315</v>
      </c>
      <c r="D133" s="5"/>
      <c r="E133" s="5" t="s">
        <v>85</v>
      </c>
      <c r="F133" s="19" t="s">
        <v>79</v>
      </c>
      <c r="G133" s="198" t="s">
        <v>525</v>
      </c>
      <c r="H133" s="177" t="s">
        <v>652</v>
      </c>
      <c r="J133" s="176" t="b">
        <f>EXACT(G133,'Vh5205_C-98'!G133)</f>
        <v>1</v>
      </c>
    </row>
    <row r="134" spans="1:10" s="7" customFormat="1" x14ac:dyDescent="0.35">
      <c r="A134" s="90">
        <v>131</v>
      </c>
      <c r="B134" s="146" t="s">
        <v>704</v>
      </c>
      <c r="C134" s="146" t="s">
        <v>121</v>
      </c>
      <c r="D134" s="146"/>
      <c r="E134" s="146" t="s">
        <v>85</v>
      </c>
      <c r="F134" s="20" t="s">
        <v>26</v>
      </c>
      <c r="G134" s="161" t="s">
        <v>491</v>
      </c>
      <c r="H134" s="177" t="s">
        <v>652</v>
      </c>
      <c r="J134" s="176" t="b">
        <f>EXACT(G134,'Vh5205_C-98'!G134)</f>
        <v>1</v>
      </c>
    </row>
    <row r="135" spans="1:10" x14ac:dyDescent="0.35">
      <c r="A135" s="90">
        <v>132</v>
      </c>
      <c r="B135" s="5" t="s">
        <v>704</v>
      </c>
      <c r="C135" s="5" t="s">
        <v>165</v>
      </c>
      <c r="D135" s="5"/>
      <c r="E135" s="5"/>
      <c r="F135" s="19" t="s">
        <v>26</v>
      </c>
      <c r="G135" s="192" t="s">
        <v>540</v>
      </c>
      <c r="H135" s="177" t="s">
        <v>652</v>
      </c>
      <c r="J135" s="176" t="b">
        <f>EXACT(G135,'Vh5205_C-98'!G135)</f>
        <v>1</v>
      </c>
    </row>
    <row r="136" spans="1:10" x14ac:dyDescent="0.35">
      <c r="A136" s="90">
        <v>133</v>
      </c>
      <c r="B136" s="5" t="s">
        <v>704</v>
      </c>
      <c r="C136" s="5" t="s">
        <v>166</v>
      </c>
      <c r="D136" s="5"/>
      <c r="E136" s="5"/>
      <c r="F136" s="19" t="s">
        <v>26</v>
      </c>
      <c r="G136" s="161">
        <v>3</v>
      </c>
      <c r="H136" s="177" t="s">
        <v>652</v>
      </c>
      <c r="J136" s="176" t="b">
        <f>EXACT(G136,'Vh5205_C-98'!G136)</f>
        <v>1</v>
      </c>
    </row>
    <row r="137" spans="1:10" x14ac:dyDescent="0.35">
      <c r="A137" s="90">
        <v>134</v>
      </c>
      <c r="B137" s="5" t="s">
        <v>704</v>
      </c>
      <c r="C137" s="5" t="s">
        <v>141</v>
      </c>
      <c r="D137" s="5"/>
      <c r="E137" s="5"/>
      <c r="F137" s="19" t="s">
        <v>26</v>
      </c>
      <c r="G137" s="161" t="s">
        <v>522</v>
      </c>
      <c r="H137" s="177" t="s">
        <v>652</v>
      </c>
      <c r="J137" s="176" t="b">
        <f>EXACT(G137,'Vh5205_C-98'!G137)</f>
        <v>1</v>
      </c>
    </row>
    <row r="138" spans="1:10" s="7" customFormat="1" x14ac:dyDescent="0.35">
      <c r="A138" s="90"/>
      <c r="B138" s="114" t="s">
        <v>704</v>
      </c>
      <c r="C138" s="114"/>
      <c r="D138" s="87"/>
      <c r="E138" s="87"/>
      <c r="F138" s="21"/>
      <c r="G138" s="196"/>
      <c r="H138" s="180"/>
      <c r="J138" s="1" t="b">
        <f>EXACT(G138,'Vh5205_C-98'!G138)</f>
        <v>1</v>
      </c>
    </row>
    <row r="139" spans="1:10" s="7" customFormat="1" x14ac:dyDescent="0.35">
      <c r="A139" s="90">
        <v>135</v>
      </c>
      <c r="B139" s="10" t="s">
        <v>705</v>
      </c>
      <c r="C139" s="10" t="s">
        <v>142</v>
      </c>
      <c r="D139" s="146"/>
      <c r="E139" s="146"/>
      <c r="F139" s="20" t="s">
        <v>26</v>
      </c>
      <c r="G139" s="192" t="s">
        <v>196</v>
      </c>
      <c r="H139" s="177" t="s">
        <v>652</v>
      </c>
      <c r="J139" s="176" t="b">
        <f>EXACT(G139,'Vh5205_C-98'!G139)</f>
        <v>1</v>
      </c>
    </row>
    <row r="140" spans="1:10" x14ac:dyDescent="0.35">
      <c r="A140" s="90">
        <v>136</v>
      </c>
      <c r="B140" s="5" t="s">
        <v>705</v>
      </c>
      <c r="C140" s="5" t="s">
        <v>138</v>
      </c>
      <c r="D140" s="5"/>
      <c r="E140" s="5"/>
      <c r="F140" s="19" t="s">
        <v>79</v>
      </c>
      <c r="G140" s="161" t="s">
        <v>526</v>
      </c>
      <c r="H140" s="177" t="s">
        <v>652</v>
      </c>
      <c r="J140" s="176" t="b">
        <f>EXACT(G140,'Vh5205_C-98'!G140)</f>
        <v>1</v>
      </c>
    </row>
    <row r="141" spans="1:10" x14ac:dyDescent="0.35">
      <c r="A141" s="90">
        <v>137</v>
      </c>
      <c r="B141" s="104" t="s">
        <v>705</v>
      </c>
      <c r="C141" s="104" t="s">
        <v>161</v>
      </c>
      <c r="D141" s="104"/>
      <c r="E141" s="104"/>
      <c r="F141" s="19" t="s">
        <v>79</v>
      </c>
      <c r="G141" s="161" t="s">
        <v>539</v>
      </c>
      <c r="H141" s="177" t="s">
        <v>652</v>
      </c>
      <c r="J141" s="176" t="b">
        <f>EXACT(G141,'Vh5205_C-98'!G141)</f>
        <v>1</v>
      </c>
    </row>
    <row r="142" spans="1:10" x14ac:dyDescent="0.35">
      <c r="A142" s="90">
        <v>138</v>
      </c>
      <c r="B142" s="104" t="s">
        <v>705</v>
      </c>
      <c r="C142" s="104" t="s">
        <v>358</v>
      </c>
      <c r="D142" s="104"/>
      <c r="E142" s="104"/>
      <c r="F142" s="20" t="s">
        <v>26</v>
      </c>
      <c r="G142" s="195">
        <v>44754</v>
      </c>
      <c r="H142" s="140"/>
      <c r="J142" s="1" t="b">
        <f>EXACT(G142,'Vh5205_C-98'!G142)</f>
        <v>1</v>
      </c>
    </row>
    <row r="143" spans="1:10" x14ac:dyDescent="0.35">
      <c r="A143" s="90">
        <v>139</v>
      </c>
      <c r="B143" s="104" t="s">
        <v>705</v>
      </c>
      <c r="C143" s="104" t="s">
        <v>271</v>
      </c>
      <c r="D143" s="104"/>
      <c r="E143" s="104"/>
      <c r="F143" s="20" t="s">
        <v>26</v>
      </c>
      <c r="G143" s="161" t="s">
        <v>492</v>
      </c>
      <c r="H143" s="177" t="s">
        <v>652</v>
      </c>
      <c r="J143" s="176" t="b">
        <f>EXACT(G143,'Vh5205_C-98'!G143)</f>
        <v>1</v>
      </c>
    </row>
    <row r="144" spans="1:10" x14ac:dyDescent="0.35">
      <c r="A144" s="90">
        <v>140</v>
      </c>
      <c r="B144" s="5" t="s">
        <v>705</v>
      </c>
      <c r="C144" s="5" t="s">
        <v>137</v>
      </c>
      <c r="D144" s="5"/>
      <c r="E144" s="5"/>
      <c r="F144" s="19" t="s">
        <v>26</v>
      </c>
      <c r="G144" s="161" t="s">
        <v>493</v>
      </c>
      <c r="H144" s="177" t="s">
        <v>652</v>
      </c>
      <c r="J144" s="176" t="b">
        <f>EXACT(G144,'Vh5205_C-98'!G144)</f>
        <v>1</v>
      </c>
    </row>
    <row r="145" spans="1:10" x14ac:dyDescent="0.35">
      <c r="A145" s="90">
        <v>141</v>
      </c>
      <c r="B145" s="146" t="s">
        <v>705</v>
      </c>
      <c r="C145" s="146" t="s">
        <v>120</v>
      </c>
      <c r="D145" s="146"/>
      <c r="E145" s="146"/>
      <c r="F145" s="19" t="s">
        <v>26</v>
      </c>
      <c r="G145" s="161" t="s">
        <v>273</v>
      </c>
      <c r="H145" s="177" t="s">
        <v>652</v>
      </c>
      <c r="J145" s="176" t="b">
        <f>EXACT(G145,'Vh5205_C-98'!G145)</f>
        <v>1</v>
      </c>
    </row>
    <row r="146" spans="1:10" x14ac:dyDescent="0.35">
      <c r="A146" s="90">
        <v>142</v>
      </c>
      <c r="B146" s="91" t="s">
        <v>705</v>
      </c>
      <c r="C146" s="91" t="s">
        <v>315</v>
      </c>
      <c r="D146" s="5"/>
      <c r="E146" s="5" t="s">
        <v>85</v>
      </c>
      <c r="F146" s="19" t="s">
        <v>79</v>
      </c>
      <c r="G146" s="198" t="s">
        <v>532</v>
      </c>
      <c r="H146" s="140"/>
      <c r="J146" s="1" t="b">
        <f>EXACT(G146,'Vh5205_C-98'!G146)</f>
        <v>1</v>
      </c>
    </row>
    <row r="147" spans="1:10" x14ac:dyDescent="0.35">
      <c r="A147" s="90">
        <v>143</v>
      </c>
      <c r="B147" s="87" t="s">
        <v>705</v>
      </c>
      <c r="C147" s="87" t="s">
        <v>121</v>
      </c>
      <c r="D147" s="93"/>
      <c r="E147" s="87" t="s">
        <v>85</v>
      </c>
      <c r="F147" s="22" t="s">
        <v>26</v>
      </c>
      <c r="G147" s="196" t="s">
        <v>274</v>
      </c>
      <c r="H147" s="180" t="s">
        <v>652</v>
      </c>
      <c r="J147" s="176" t="b">
        <f>EXACT(G147,'Vh5205_C-98'!G147)</f>
        <v>1</v>
      </c>
    </row>
    <row r="148" spans="1:10" x14ac:dyDescent="0.35">
      <c r="A148" s="90">
        <v>144</v>
      </c>
      <c r="B148" s="111" t="s">
        <v>706</v>
      </c>
      <c r="C148" s="111" t="s">
        <v>287</v>
      </c>
      <c r="D148" s="111"/>
      <c r="E148" s="111"/>
      <c r="F148" s="18" t="s">
        <v>26</v>
      </c>
      <c r="G148" s="197" t="s">
        <v>281</v>
      </c>
      <c r="H148" s="177" t="s">
        <v>652</v>
      </c>
      <c r="J148" s="176" t="b">
        <f>EXACT(G148,'Vh5205_C-98'!G148)</f>
        <v>1</v>
      </c>
    </row>
    <row r="149" spans="1:10" x14ac:dyDescent="0.35">
      <c r="A149" s="90">
        <v>145</v>
      </c>
      <c r="B149" s="5" t="s">
        <v>706</v>
      </c>
      <c r="C149" s="5" t="s">
        <v>366</v>
      </c>
      <c r="D149" s="5"/>
      <c r="E149" s="5"/>
      <c r="F149" s="19" t="s">
        <v>26</v>
      </c>
      <c r="G149" s="161" t="s">
        <v>288</v>
      </c>
      <c r="H149" s="177" t="s">
        <v>652</v>
      </c>
      <c r="J149" s="176" t="b">
        <f>EXACT(G149,'Vh5205_C-98'!G149)</f>
        <v>1</v>
      </c>
    </row>
    <row r="150" spans="1:10" x14ac:dyDescent="0.35">
      <c r="A150" s="90">
        <v>146</v>
      </c>
      <c r="B150" s="93" t="s">
        <v>706</v>
      </c>
      <c r="C150" s="93" t="s">
        <v>367</v>
      </c>
      <c r="D150" s="93"/>
      <c r="E150" s="93"/>
      <c r="F150" s="22" t="s">
        <v>26</v>
      </c>
      <c r="G150" s="194" t="s">
        <v>524</v>
      </c>
      <c r="H150" s="180" t="s">
        <v>652</v>
      </c>
      <c r="J150" s="176" t="b">
        <f>EXACT(G150,'Vh5205_C-98'!G150)</f>
        <v>1</v>
      </c>
    </row>
    <row r="151" spans="1:10" s="7" customFormat="1" x14ac:dyDescent="0.35">
      <c r="A151" s="90">
        <v>147</v>
      </c>
      <c r="B151" s="100" t="s">
        <v>707</v>
      </c>
      <c r="C151" s="100" t="s">
        <v>169</v>
      </c>
      <c r="D151" s="146"/>
      <c r="E151" s="146"/>
      <c r="F151" s="19" t="s">
        <v>26</v>
      </c>
      <c r="G151" s="206" t="s">
        <v>541</v>
      </c>
      <c r="H151" s="177" t="s">
        <v>652</v>
      </c>
      <c r="J151" s="176" t="b">
        <f>EXACT(G151,'Vh5205_C-98'!G151)</f>
        <v>1</v>
      </c>
    </row>
    <row r="152" spans="1:10" s="7" customFormat="1" x14ac:dyDescent="0.35">
      <c r="A152" s="90">
        <v>148</v>
      </c>
      <c r="B152" s="146" t="s">
        <v>707</v>
      </c>
      <c r="C152" s="146" t="s">
        <v>192</v>
      </c>
      <c r="D152" s="146"/>
      <c r="E152" s="146"/>
      <c r="F152" s="19" t="s">
        <v>26</v>
      </c>
      <c r="G152" s="192" t="s">
        <v>542</v>
      </c>
      <c r="H152" s="177" t="s">
        <v>652</v>
      </c>
      <c r="J152" s="176" t="b">
        <f>EXACT(G152,'Vh5205_C-98'!G152)</f>
        <v>1</v>
      </c>
    </row>
    <row r="153" spans="1:10" s="7" customFormat="1" x14ac:dyDescent="0.35">
      <c r="A153" s="90">
        <v>149</v>
      </c>
      <c r="B153" s="146" t="s">
        <v>707</v>
      </c>
      <c r="C153" s="146" t="s">
        <v>170</v>
      </c>
      <c r="D153" s="146"/>
      <c r="E153" s="146"/>
      <c r="F153" s="19" t="s">
        <v>26</v>
      </c>
      <c r="G153" s="192" t="s">
        <v>275</v>
      </c>
      <c r="H153" s="177" t="s">
        <v>652</v>
      </c>
      <c r="J153" s="176" t="b">
        <f>EXACT(G153,'Vh5205_C-98'!G153)</f>
        <v>1</v>
      </c>
    </row>
    <row r="154" spans="1:10" s="7" customFormat="1" x14ac:dyDescent="0.35">
      <c r="A154" s="90">
        <v>150</v>
      </c>
      <c r="B154" s="146" t="s">
        <v>707</v>
      </c>
      <c r="C154" s="146" t="s">
        <v>280</v>
      </c>
      <c r="D154" s="146"/>
      <c r="E154" s="146"/>
      <c r="F154" s="19" t="s">
        <v>79</v>
      </c>
      <c r="G154" s="161" t="s">
        <v>494</v>
      </c>
      <c r="H154" s="177" t="s">
        <v>652</v>
      </c>
      <c r="J154" s="176" t="b">
        <f>EXACT(G154,'Vh5205_C-98'!G154)</f>
        <v>1</v>
      </c>
    </row>
    <row r="155" spans="1:10" s="7" customFormat="1" x14ac:dyDescent="0.35">
      <c r="A155" s="90">
        <v>151</v>
      </c>
      <c r="B155" s="146" t="s">
        <v>707</v>
      </c>
      <c r="C155" s="146" t="s">
        <v>44</v>
      </c>
      <c r="D155" s="146"/>
      <c r="E155" s="146"/>
      <c r="F155" s="19" t="s">
        <v>79</v>
      </c>
      <c r="G155" s="205" t="s">
        <v>495</v>
      </c>
      <c r="H155" s="177" t="s">
        <v>652</v>
      </c>
      <c r="J155" s="176" t="b">
        <f>EXACT(G155,'Vh5205_C-98'!G155)</f>
        <v>1</v>
      </c>
    </row>
    <row r="156" spans="1:10" s="7" customFormat="1" x14ac:dyDescent="0.35">
      <c r="A156" s="90">
        <v>152</v>
      </c>
      <c r="B156" s="10" t="s">
        <v>707</v>
      </c>
      <c r="C156" s="10" t="s">
        <v>289</v>
      </c>
      <c r="D156" s="146"/>
      <c r="E156" s="146"/>
      <c r="F156" s="20" t="s">
        <v>79</v>
      </c>
      <c r="G156" s="192" t="s">
        <v>524</v>
      </c>
      <c r="H156" s="177" t="s">
        <v>652</v>
      </c>
      <c r="J156" s="176" t="b">
        <f>EXACT(G156,'Vh5205_C-98'!G156)</f>
        <v>1</v>
      </c>
    </row>
    <row r="157" spans="1:10" s="7" customFormat="1" x14ac:dyDescent="0.35">
      <c r="A157" s="90">
        <v>153</v>
      </c>
      <c r="B157" s="146" t="s">
        <v>707</v>
      </c>
      <c r="C157" s="146" t="s">
        <v>279</v>
      </c>
      <c r="D157" s="146"/>
      <c r="E157" s="146"/>
      <c r="F157" s="19" t="s">
        <v>79</v>
      </c>
      <c r="G157" s="192" t="s">
        <v>385</v>
      </c>
      <c r="H157" s="177" t="s">
        <v>652</v>
      </c>
      <c r="J157" s="176" t="b">
        <f>EXACT(G157,'Vh5205_C-98'!G157)</f>
        <v>1</v>
      </c>
    </row>
    <row r="158" spans="1:10" s="7" customFormat="1" x14ac:dyDescent="0.35">
      <c r="A158" s="90">
        <v>154</v>
      </c>
      <c r="B158" s="10" t="s">
        <v>707</v>
      </c>
      <c r="C158" s="10" t="s">
        <v>31</v>
      </c>
      <c r="D158" s="146"/>
      <c r="E158" s="146" t="s">
        <v>194</v>
      </c>
      <c r="F158" s="19" t="s">
        <v>26</v>
      </c>
      <c r="G158" s="199" t="s">
        <v>496</v>
      </c>
      <c r="H158" s="177" t="s">
        <v>652</v>
      </c>
      <c r="J158" s="176" t="b">
        <f>EXACT(G158,'Vh5205_C-98'!G158)</f>
        <v>1</v>
      </c>
    </row>
    <row r="159" spans="1:10" s="7" customFormat="1" x14ac:dyDescent="0.35">
      <c r="A159" s="90">
        <v>155</v>
      </c>
      <c r="B159" s="10" t="s">
        <v>707</v>
      </c>
      <c r="C159" s="10" t="s">
        <v>32</v>
      </c>
      <c r="D159" s="146"/>
      <c r="E159" s="146" t="s">
        <v>586</v>
      </c>
      <c r="F159" s="19" t="s">
        <v>26</v>
      </c>
      <c r="G159" s="198" t="s">
        <v>497</v>
      </c>
      <c r="H159" s="177" t="s">
        <v>652</v>
      </c>
      <c r="J159" s="176" t="b">
        <f>EXACT(G159,'Vh5205_C-98'!G159)</f>
        <v>1</v>
      </c>
    </row>
    <row r="160" spans="1:10" s="7" customFormat="1" x14ac:dyDescent="0.35">
      <c r="A160" s="90">
        <v>156</v>
      </c>
      <c r="B160" s="10" t="s">
        <v>707</v>
      </c>
      <c r="C160" s="10" t="s">
        <v>291</v>
      </c>
      <c r="D160" s="146"/>
      <c r="E160" s="146" t="s">
        <v>2</v>
      </c>
      <c r="F160" s="19" t="s">
        <v>26</v>
      </c>
      <c r="G160" s="192">
        <v>25</v>
      </c>
      <c r="H160" s="177" t="s">
        <v>652</v>
      </c>
      <c r="J160" s="176" t="b">
        <f>EXACT(G160,'Vh5205_C-98'!G160)</f>
        <v>1</v>
      </c>
    </row>
    <row r="161" spans="1:10" s="7" customFormat="1" x14ac:dyDescent="0.35">
      <c r="A161" s="90">
        <v>157</v>
      </c>
      <c r="B161" s="146" t="s">
        <v>707</v>
      </c>
      <c r="C161" s="146" t="s">
        <v>293</v>
      </c>
      <c r="D161" s="146"/>
      <c r="E161" s="146"/>
      <c r="F161" s="20" t="s">
        <v>26</v>
      </c>
      <c r="G161" s="192" t="s">
        <v>196</v>
      </c>
      <c r="H161" s="177" t="s">
        <v>652</v>
      </c>
      <c r="J161" s="176" t="b">
        <f>EXACT(G161,'Vh5205_C-98'!G161)</f>
        <v>1</v>
      </c>
    </row>
    <row r="162" spans="1:10" s="7" customFormat="1" x14ac:dyDescent="0.35">
      <c r="A162" s="90">
        <v>158</v>
      </c>
      <c r="B162" s="104" t="s">
        <v>707</v>
      </c>
      <c r="C162" s="104" t="s">
        <v>161</v>
      </c>
      <c r="D162" s="104"/>
      <c r="E162" s="104"/>
      <c r="F162" s="20" t="s">
        <v>79</v>
      </c>
      <c r="G162" s="161" t="s">
        <v>539</v>
      </c>
      <c r="H162" s="177" t="s">
        <v>652</v>
      </c>
      <c r="J162" s="176" t="b">
        <f>EXACT(G162,'Vh5205_C-98'!G162)</f>
        <v>1</v>
      </c>
    </row>
    <row r="163" spans="1:10" x14ac:dyDescent="0.35">
      <c r="A163" s="90">
        <v>159</v>
      </c>
      <c r="B163" s="104" t="s">
        <v>707</v>
      </c>
      <c r="C163" s="104" t="s">
        <v>358</v>
      </c>
      <c r="D163" s="104"/>
      <c r="E163" s="104"/>
      <c r="F163" s="20" t="s">
        <v>26</v>
      </c>
      <c r="G163" s="195">
        <v>44735</v>
      </c>
      <c r="H163" s="140"/>
      <c r="J163" s="2" t="b">
        <f>EXACT(G163,'Vh5205_C-98'!G163)</f>
        <v>1</v>
      </c>
    </row>
    <row r="164" spans="1:10" x14ac:dyDescent="0.35">
      <c r="A164" s="90">
        <v>160</v>
      </c>
      <c r="B164" s="104" t="s">
        <v>707</v>
      </c>
      <c r="C164" s="104" t="s">
        <v>271</v>
      </c>
      <c r="D164" s="104"/>
      <c r="E164" s="104"/>
      <c r="F164" s="20" t="s">
        <v>26</v>
      </c>
      <c r="G164" s="161" t="s">
        <v>492</v>
      </c>
      <c r="H164" s="177" t="s">
        <v>652</v>
      </c>
      <c r="J164" s="176" t="b">
        <f>EXACT(G164,'Vh5205_C-98'!G164)</f>
        <v>1</v>
      </c>
    </row>
    <row r="165" spans="1:10" s="7" customFormat="1" x14ac:dyDescent="0.35">
      <c r="A165" s="90">
        <v>161</v>
      </c>
      <c r="B165" s="146" t="s">
        <v>707</v>
      </c>
      <c r="C165" s="146" t="s">
        <v>119</v>
      </c>
      <c r="D165" s="146"/>
      <c r="E165" s="146"/>
      <c r="F165" s="20" t="s">
        <v>26</v>
      </c>
      <c r="G165" s="161">
        <v>1</v>
      </c>
      <c r="H165" s="177" t="s">
        <v>652</v>
      </c>
      <c r="J165" s="176" t="b">
        <f>EXACT(G165,'Vh5205_C-98'!G165)</f>
        <v>1</v>
      </c>
    </row>
    <row r="166" spans="1:10" s="7" customFormat="1" x14ac:dyDescent="0.35">
      <c r="A166" s="90">
        <v>162</v>
      </c>
      <c r="B166" s="146" t="s">
        <v>707</v>
      </c>
      <c r="C166" s="146" t="s">
        <v>145</v>
      </c>
      <c r="D166" s="146"/>
      <c r="E166" s="10" t="s">
        <v>171</v>
      </c>
      <c r="F166" s="20" t="s">
        <v>26</v>
      </c>
      <c r="G166" s="161" t="s">
        <v>543</v>
      </c>
      <c r="H166" s="177" t="s">
        <v>652</v>
      </c>
      <c r="J166" s="176" t="b">
        <f>EXACT(G166,'Vh5205_C-98'!G166)</f>
        <v>1</v>
      </c>
    </row>
    <row r="167" spans="1:10" s="7" customFormat="1" x14ac:dyDescent="0.35">
      <c r="A167" s="90">
        <v>163</v>
      </c>
      <c r="B167" s="87" t="s">
        <v>707</v>
      </c>
      <c r="C167" s="87" t="s">
        <v>120</v>
      </c>
      <c r="D167" s="87"/>
      <c r="E167" s="87"/>
      <c r="F167" s="21" t="s">
        <v>26</v>
      </c>
      <c r="G167" s="194" t="s">
        <v>276</v>
      </c>
      <c r="H167" s="180" t="s">
        <v>652</v>
      </c>
      <c r="J167" s="176" t="b">
        <f>EXACT(G167,'Vh5205_C-98'!G167)</f>
        <v>1</v>
      </c>
    </row>
    <row r="168" spans="1:10" s="7" customFormat="1" x14ac:dyDescent="0.35">
      <c r="A168" s="90"/>
      <c r="B168" s="10" t="s">
        <v>708</v>
      </c>
      <c r="C168" s="10"/>
      <c r="D168" s="146"/>
      <c r="E168" s="146"/>
      <c r="F168" s="20"/>
      <c r="G168" s="208"/>
      <c r="H168" s="180"/>
      <c r="J168" s="1" t="b">
        <f>EXACT(G168,'Vh5205_C-98'!G168)</f>
        <v>1</v>
      </c>
    </row>
    <row r="169" spans="1:10" s="7" customFormat="1" ht="46.5" x14ac:dyDescent="0.35">
      <c r="A169" s="90">
        <v>164</v>
      </c>
      <c r="B169" s="102" t="s">
        <v>709</v>
      </c>
      <c r="C169" s="102" t="s">
        <v>588</v>
      </c>
      <c r="D169" s="100"/>
      <c r="E169" s="100"/>
      <c r="F169" s="18" t="s">
        <v>26</v>
      </c>
      <c r="G169" s="197" t="s">
        <v>657</v>
      </c>
      <c r="H169" s="177" t="s">
        <v>652</v>
      </c>
      <c r="J169" s="176" t="b">
        <f>EXACT(G169,'Vh5205_C-98'!G169)</f>
        <v>1</v>
      </c>
    </row>
    <row r="170" spans="1:10" s="7" customFormat="1" ht="31" x14ac:dyDescent="0.35">
      <c r="A170" s="90">
        <v>165</v>
      </c>
      <c r="B170" s="10" t="s">
        <v>709</v>
      </c>
      <c r="C170" s="10" t="s">
        <v>589</v>
      </c>
      <c r="D170" s="146"/>
      <c r="E170" s="146"/>
      <c r="F170" s="23" t="s">
        <v>26</v>
      </c>
      <c r="G170" s="161" t="s">
        <v>622</v>
      </c>
      <c r="H170" s="177" t="s">
        <v>652</v>
      </c>
      <c r="J170" s="176" t="b">
        <f>EXACT(G170,'Vh5205_C-98'!G170)</f>
        <v>1</v>
      </c>
    </row>
    <row r="171" spans="1:10" s="7" customFormat="1" ht="17.5" x14ac:dyDescent="0.35">
      <c r="A171" s="90">
        <v>166</v>
      </c>
      <c r="B171" s="10" t="s">
        <v>709</v>
      </c>
      <c r="C171" s="10" t="s">
        <v>498</v>
      </c>
      <c r="D171" s="146"/>
      <c r="E171" s="146"/>
      <c r="F171" s="23" t="s">
        <v>26</v>
      </c>
      <c r="G171" s="161" t="s">
        <v>658</v>
      </c>
      <c r="H171" s="177" t="s">
        <v>652</v>
      </c>
      <c r="J171" s="176" t="b">
        <f>EXACT(G171,'Vh5205_C-98'!G171)</f>
        <v>1</v>
      </c>
    </row>
    <row r="172" spans="1:10" s="7" customFormat="1" x14ac:dyDescent="0.35">
      <c r="A172" s="90">
        <v>167</v>
      </c>
      <c r="B172" s="10" t="s">
        <v>709</v>
      </c>
      <c r="C172" s="10" t="s">
        <v>313</v>
      </c>
      <c r="D172" s="146"/>
      <c r="E172" s="146"/>
      <c r="F172" s="19" t="s">
        <v>26</v>
      </c>
      <c r="G172" s="192" t="s">
        <v>48</v>
      </c>
      <c r="H172" s="177" t="s">
        <v>652</v>
      </c>
      <c r="J172" s="176" t="b">
        <f>EXACT(G172,'Vh5205_C-98'!G172)</f>
        <v>1</v>
      </c>
    </row>
    <row r="173" spans="1:10" s="7" customFormat="1" x14ac:dyDescent="0.35">
      <c r="A173" s="90">
        <v>168</v>
      </c>
      <c r="B173" s="146" t="s">
        <v>709</v>
      </c>
      <c r="C173" s="146" t="s">
        <v>306</v>
      </c>
      <c r="D173" s="146"/>
      <c r="E173" s="146"/>
      <c r="F173" s="19" t="s">
        <v>26</v>
      </c>
      <c r="G173" s="192" t="s">
        <v>524</v>
      </c>
      <c r="H173" s="177" t="s">
        <v>652</v>
      </c>
      <c r="J173" s="176" t="b">
        <f>EXACT(G173,'Vh5205_C-98'!G173)</f>
        <v>1</v>
      </c>
    </row>
    <row r="174" spans="1:10" s="7" customFormat="1" x14ac:dyDescent="0.35">
      <c r="A174" s="90">
        <v>169</v>
      </c>
      <c r="B174" s="87" t="s">
        <v>709</v>
      </c>
      <c r="C174" s="87" t="s">
        <v>307</v>
      </c>
      <c r="D174" s="87"/>
      <c r="E174" s="87"/>
      <c r="F174" s="22" t="s">
        <v>79</v>
      </c>
      <c r="G174" s="196"/>
      <c r="H174" s="180"/>
      <c r="J174" s="1" t="b">
        <f>EXACT(G174,'Vh5205_C-98'!G174)</f>
        <v>1</v>
      </c>
    </row>
    <row r="175" spans="1:10" s="7" customFormat="1" x14ac:dyDescent="0.35">
      <c r="A175" s="90">
        <v>170</v>
      </c>
      <c r="B175" s="146" t="s">
        <v>710</v>
      </c>
      <c r="C175" s="146" t="s">
        <v>10</v>
      </c>
      <c r="D175" s="146" t="s">
        <v>146</v>
      </c>
      <c r="E175" s="146" t="s">
        <v>2</v>
      </c>
      <c r="F175" s="19" t="s">
        <v>26</v>
      </c>
      <c r="G175" s="209">
        <v>6</v>
      </c>
      <c r="H175" s="177"/>
      <c r="J175" s="1" t="b">
        <f>EXACT(G175,'Vh5205_C-98'!G175)</f>
        <v>0</v>
      </c>
    </row>
    <row r="176" spans="1:10" s="7" customFormat="1" ht="17.5" x14ac:dyDescent="0.35">
      <c r="A176" s="90">
        <v>171</v>
      </c>
      <c r="B176" s="146" t="s">
        <v>710</v>
      </c>
      <c r="C176" s="146" t="s">
        <v>11</v>
      </c>
      <c r="D176" s="146" t="s">
        <v>591</v>
      </c>
      <c r="E176" s="146" t="s">
        <v>2</v>
      </c>
      <c r="F176" s="19" t="s">
        <v>26</v>
      </c>
      <c r="G176" s="210">
        <v>23.8</v>
      </c>
      <c r="H176" s="177"/>
      <c r="J176" s="1" t="b">
        <f>EXACT(G176,'Vh5205_C-98'!G176)</f>
        <v>0</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EXACT(G177,'Vh5205_C-98'!G177)</f>
        <v>1</v>
      </c>
    </row>
    <row r="178" spans="1:10" s="7" customFormat="1" x14ac:dyDescent="0.35">
      <c r="A178" s="90">
        <v>173</v>
      </c>
      <c r="B178" s="10" t="s">
        <v>710</v>
      </c>
      <c r="C178" s="10" t="s">
        <v>28</v>
      </c>
      <c r="D178" s="146" t="s">
        <v>593</v>
      </c>
      <c r="E178" s="146" t="s">
        <v>2</v>
      </c>
      <c r="F178" s="19" t="s">
        <v>26</v>
      </c>
      <c r="G178" s="211">
        <v>22.8</v>
      </c>
      <c r="H178" s="177"/>
      <c r="J178" s="1" t="b">
        <f>EXACT(G178,'Vh5205_C-98'!G178)</f>
        <v>0</v>
      </c>
    </row>
    <row r="179" spans="1:10" s="7" customFormat="1" ht="17.5" x14ac:dyDescent="0.35">
      <c r="A179" s="90">
        <v>174</v>
      </c>
      <c r="B179" s="10" t="s">
        <v>710</v>
      </c>
      <c r="C179" s="10" t="s">
        <v>29</v>
      </c>
      <c r="D179" s="10" t="s">
        <v>440</v>
      </c>
      <c r="E179" s="146" t="s">
        <v>2</v>
      </c>
      <c r="F179" s="19" t="s">
        <v>26</v>
      </c>
      <c r="G179" s="210">
        <v>23.8</v>
      </c>
      <c r="H179" s="177"/>
      <c r="J179" s="1" t="b">
        <f>EXACT(G179,'Vh5205_C-98'!G179)</f>
        <v>0</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EXACT(G180,'Vh5205_C-98'!G180)</f>
        <v>1</v>
      </c>
    </row>
    <row r="181" spans="1:10" s="7" customFormat="1" ht="17.5" x14ac:dyDescent="0.35">
      <c r="A181" s="90">
        <v>176</v>
      </c>
      <c r="B181" s="10" t="s">
        <v>710</v>
      </c>
      <c r="C181" s="10" t="s">
        <v>30</v>
      </c>
      <c r="D181" s="10" t="s">
        <v>443</v>
      </c>
      <c r="E181" s="146" t="s">
        <v>2</v>
      </c>
      <c r="F181" s="19" t="s">
        <v>26</v>
      </c>
      <c r="G181" s="211">
        <v>22.8</v>
      </c>
      <c r="H181" s="177"/>
      <c r="J181" s="1" t="b">
        <f>EXACT(G181,'Vh5205_C-98'!G181)</f>
        <v>0</v>
      </c>
    </row>
    <row r="182" spans="1:10" s="7" customFormat="1" x14ac:dyDescent="0.35">
      <c r="A182" s="90">
        <v>177</v>
      </c>
      <c r="B182" s="146" t="s">
        <v>710</v>
      </c>
      <c r="C182" s="146" t="s">
        <v>444</v>
      </c>
      <c r="D182" s="10" t="s">
        <v>445</v>
      </c>
      <c r="E182" s="146" t="s">
        <v>2</v>
      </c>
      <c r="F182" s="19" t="s">
        <v>26</v>
      </c>
      <c r="G182" s="211">
        <v>4</v>
      </c>
      <c r="H182" s="177"/>
      <c r="J182" s="1" t="b">
        <f>EXACT(G182,'Vh5205_C-98'!G182)</f>
        <v>1</v>
      </c>
    </row>
    <row r="183" spans="1:10" s="7" customFormat="1" ht="17.5" x14ac:dyDescent="0.35">
      <c r="A183" s="90">
        <v>178</v>
      </c>
      <c r="B183" s="146" t="s">
        <v>710</v>
      </c>
      <c r="C183" s="146" t="s">
        <v>446</v>
      </c>
      <c r="D183" s="10" t="s">
        <v>447</v>
      </c>
      <c r="E183" s="146" t="s">
        <v>2</v>
      </c>
      <c r="F183" s="19" t="s">
        <v>26</v>
      </c>
      <c r="G183" s="203">
        <v>4.4800000000000004</v>
      </c>
      <c r="H183" s="177"/>
      <c r="J183" s="1" t="b">
        <f>EXACT(G183,'Vh5205_C-98'!G183)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EXACT(G184,'Vh5205_C-98'!G184)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EXACT(G185,'Vh5205_C-98'!G185)</f>
        <v>1</v>
      </c>
    </row>
    <row r="186" spans="1:10" s="7" customFormat="1" x14ac:dyDescent="0.35">
      <c r="A186" s="90">
        <v>181</v>
      </c>
      <c r="B186" s="146" t="s">
        <v>710</v>
      </c>
      <c r="C186" s="146" t="s">
        <v>452</v>
      </c>
      <c r="D186" s="10" t="s">
        <v>453</v>
      </c>
      <c r="E186" s="146" t="s">
        <v>2</v>
      </c>
      <c r="F186" s="19" t="s">
        <v>26</v>
      </c>
      <c r="G186" s="211">
        <v>3.8</v>
      </c>
      <c r="H186" s="177"/>
      <c r="J186" s="1" t="b">
        <f>EXACT(G186,'Vh5205_C-98'!G186)</f>
        <v>1</v>
      </c>
    </row>
    <row r="187" spans="1:10" s="7" customFormat="1" ht="17.5" x14ac:dyDescent="0.35">
      <c r="A187" s="90">
        <v>182</v>
      </c>
      <c r="B187" s="87" t="s">
        <v>710</v>
      </c>
      <c r="C187" s="87" t="s">
        <v>454</v>
      </c>
      <c r="D187" s="13" t="s">
        <v>455</v>
      </c>
      <c r="E187" s="87" t="s">
        <v>2</v>
      </c>
      <c r="F187" s="22" t="s">
        <v>26</v>
      </c>
      <c r="G187" s="212">
        <v>4.29</v>
      </c>
      <c r="H187" s="180"/>
      <c r="J187" s="1" t="b">
        <f>EXACT(G187,'Vh5205_C-98'!G187)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EXACT(G188,'Vh5205_C-98'!G188)</f>
        <v>1</v>
      </c>
    </row>
    <row r="189" spans="1:10" s="7" customFormat="1" x14ac:dyDescent="0.35">
      <c r="A189" s="90">
        <v>184</v>
      </c>
      <c r="B189" s="10" t="s">
        <v>711</v>
      </c>
      <c r="C189" s="10" t="s">
        <v>47</v>
      </c>
      <c r="D189" s="106" t="s">
        <v>597</v>
      </c>
      <c r="E189" s="146" t="s">
        <v>2</v>
      </c>
      <c r="F189" s="19" t="s">
        <v>79</v>
      </c>
      <c r="G189" s="161"/>
      <c r="H189" s="177"/>
      <c r="J189" s="1" t="b">
        <f>EXACT(G189,'Vh5205_C-98'!G189)</f>
        <v>1</v>
      </c>
    </row>
    <row r="190" spans="1:10" s="7" customFormat="1" ht="17.5" x14ac:dyDescent="0.35">
      <c r="A190" s="90">
        <v>185</v>
      </c>
      <c r="B190" s="10" t="s">
        <v>711</v>
      </c>
      <c r="C190" s="10" t="s">
        <v>175</v>
      </c>
      <c r="D190" s="106" t="s">
        <v>598</v>
      </c>
      <c r="E190" s="146" t="s">
        <v>2</v>
      </c>
      <c r="F190" s="19" t="s">
        <v>79</v>
      </c>
      <c r="G190" s="161"/>
      <c r="H190" s="177"/>
      <c r="J190" s="1" t="b">
        <f>EXACT(G190,'Vh5205_C-98'!G190)</f>
        <v>1</v>
      </c>
    </row>
    <row r="191" spans="1:10" s="7" customFormat="1" x14ac:dyDescent="0.35">
      <c r="A191" s="90">
        <v>186</v>
      </c>
      <c r="B191" s="146" t="s">
        <v>711</v>
      </c>
      <c r="C191" s="146" t="s">
        <v>12</v>
      </c>
      <c r="D191" s="146"/>
      <c r="E191" s="146" t="s">
        <v>5</v>
      </c>
      <c r="F191" s="19" t="s">
        <v>26</v>
      </c>
      <c r="G191" s="161">
        <v>1.67</v>
      </c>
      <c r="H191" s="177"/>
      <c r="J191" s="1" t="b">
        <f>EXACT(G191,'Vh5205_C-98'!G191)</f>
        <v>0</v>
      </c>
    </row>
    <row r="192" spans="1:10" s="7" customFormat="1" x14ac:dyDescent="0.35">
      <c r="A192" s="90">
        <v>187</v>
      </c>
      <c r="B192" s="146" t="s">
        <v>711</v>
      </c>
      <c r="C192" s="146" t="s">
        <v>53</v>
      </c>
      <c r="D192" s="146"/>
      <c r="E192" s="146" t="s">
        <v>5</v>
      </c>
      <c r="F192" s="19" t="s">
        <v>26</v>
      </c>
      <c r="G192" s="161">
        <v>1.88</v>
      </c>
      <c r="H192" s="177"/>
      <c r="J192" s="1" t="b">
        <f>EXACT(G192,'Vh5205_C-98'!G192)</f>
        <v>0</v>
      </c>
    </row>
    <row r="193" spans="1:10" s="7" customFormat="1" x14ac:dyDescent="0.35">
      <c r="A193" s="90">
        <v>188</v>
      </c>
      <c r="B193" s="146" t="s">
        <v>711</v>
      </c>
      <c r="C193" s="146" t="s">
        <v>8</v>
      </c>
      <c r="D193" s="146" t="s">
        <v>36</v>
      </c>
      <c r="E193" s="146" t="s">
        <v>5</v>
      </c>
      <c r="F193" s="22" t="s">
        <v>26</v>
      </c>
      <c r="G193" s="213">
        <v>180</v>
      </c>
      <c r="H193" s="180"/>
      <c r="J193" s="1" t="b">
        <f>EXACT(G193,'Vh5205_C-98'!G193)</f>
        <v>0</v>
      </c>
    </row>
    <row r="194" spans="1:10" s="7" customFormat="1" ht="17.5" x14ac:dyDescent="0.35">
      <c r="A194" s="90">
        <v>189</v>
      </c>
      <c r="B194" s="100" t="s">
        <v>712</v>
      </c>
      <c r="C194" s="100" t="s">
        <v>118</v>
      </c>
      <c r="D194" s="100" t="s">
        <v>599</v>
      </c>
      <c r="E194" s="100" t="s">
        <v>5</v>
      </c>
      <c r="F194" s="19" t="s">
        <v>26</v>
      </c>
      <c r="G194" s="214">
        <v>180</v>
      </c>
      <c r="H194" s="177"/>
      <c r="J194" s="1" t="b">
        <f>EXACT(G194,'Vh5205_C-98'!G194)</f>
        <v>0</v>
      </c>
    </row>
    <row r="195" spans="1:10" s="7" customFormat="1" x14ac:dyDescent="0.35">
      <c r="A195" s="90">
        <v>190</v>
      </c>
      <c r="B195" s="10" t="s">
        <v>712</v>
      </c>
      <c r="C195" s="10" t="s">
        <v>176</v>
      </c>
      <c r="D195" s="146"/>
      <c r="E195" s="146"/>
      <c r="F195" s="19" t="s">
        <v>26</v>
      </c>
      <c r="G195" s="161" t="s">
        <v>533</v>
      </c>
      <c r="H195" s="177"/>
      <c r="J195" s="1" t="b">
        <f>EXACT(G195,'Vh5205_C-98'!G195)</f>
        <v>1</v>
      </c>
    </row>
    <row r="196" spans="1:10" s="7" customFormat="1" x14ac:dyDescent="0.35">
      <c r="A196" s="90">
        <v>191</v>
      </c>
      <c r="B196" s="13" t="s">
        <v>712</v>
      </c>
      <c r="C196" s="13" t="s">
        <v>38</v>
      </c>
      <c r="D196" s="87" t="s">
        <v>49</v>
      </c>
      <c r="E196" s="87" t="s">
        <v>2</v>
      </c>
      <c r="F196" s="22" t="s">
        <v>79</v>
      </c>
      <c r="G196" s="215">
        <v>30.4</v>
      </c>
      <c r="H196" s="180"/>
      <c r="J196" s="1" t="b">
        <f>EXACT(G196,'Vh5205_C-98'!G196)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EXACT(G197,'Vh5205_C-98'!G197)</f>
        <v>1</v>
      </c>
    </row>
    <row r="198" spans="1:10" s="7" customFormat="1" x14ac:dyDescent="0.35">
      <c r="A198" s="90">
        <v>193</v>
      </c>
      <c r="B198" s="10" t="s">
        <v>711</v>
      </c>
      <c r="C198" s="10" t="s">
        <v>193</v>
      </c>
      <c r="D198" s="5"/>
      <c r="E198" s="10" t="s">
        <v>0</v>
      </c>
      <c r="F198" s="19" t="s">
        <v>26</v>
      </c>
      <c r="G198" s="192" t="s">
        <v>659</v>
      </c>
      <c r="H198" s="177" t="s">
        <v>652</v>
      </c>
      <c r="J198" s="176" t="b">
        <f>EXACT(G198,'Vh5205_C-98'!G198)</f>
        <v>1</v>
      </c>
    </row>
    <row r="199" spans="1:10" s="7" customFormat="1" x14ac:dyDescent="0.35">
      <c r="A199" s="90">
        <v>194</v>
      </c>
      <c r="B199" s="146" t="s">
        <v>711</v>
      </c>
      <c r="C199" s="146" t="s">
        <v>13</v>
      </c>
      <c r="D199" s="146"/>
      <c r="E199" s="146" t="s">
        <v>6</v>
      </c>
      <c r="F199" s="19" t="s">
        <v>79</v>
      </c>
      <c r="G199" s="161"/>
      <c r="H199" s="177"/>
      <c r="J199" s="1" t="b">
        <f>EXACT(G199,'Vh5205_C-98'!G199)</f>
        <v>1</v>
      </c>
    </row>
    <row r="200" spans="1:10" s="7" customFormat="1" x14ac:dyDescent="0.35">
      <c r="A200" s="90">
        <v>195</v>
      </c>
      <c r="B200" s="146" t="s">
        <v>711</v>
      </c>
      <c r="C200" s="146" t="s">
        <v>14</v>
      </c>
      <c r="D200" s="146"/>
      <c r="E200" s="146" t="s">
        <v>6</v>
      </c>
      <c r="F200" s="19" t="s">
        <v>79</v>
      </c>
      <c r="G200" s="161"/>
      <c r="H200" s="177"/>
      <c r="J200" s="1" t="b">
        <f>EXACT(G200,'Vh5205_C-98'!G200)</f>
        <v>1</v>
      </c>
    </row>
    <row r="201" spans="1:10" s="7" customFormat="1" x14ac:dyDescent="0.35">
      <c r="A201" s="90">
        <v>196</v>
      </c>
      <c r="B201" s="146" t="s">
        <v>711</v>
      </c>
      <c r="C201" s="146" t="s">
        <v>19</v>
      </c>
      <c r="D201" s="146"/>
      <c r="E201" s="146" t="s">
        <v>113</v>
      </c>
      <c r="F201" s="19" t="s">
        <v>79</v>
      </c>
      <c r="G201" s="161"/>
      <c r="H201" s="177"/>
      <c r="J201" s="1" t="b">
        <f>EXACT(G201,'Vh5205_C-98'!G201)</f>
        <v>1</v>
      </c>
    </row>
    <row r="202" spans="1:10" s="7" customFormat="1" x14ac:dyDescent="0.35">
      <c r="A202" s="90">
        <v>197</v>
      </c>
      <c r="B202" s="146" t="s">
        <v>711</v>
      </c>
      <c r="C202" s="146" t="s">
        <v>20</v>
      </c>
      <c r="D202" s="146"/>
      <c r="E202" s="146" t="s">
        <v>113</v>
      </c>
      <c r="F202" s="19" t="s">
        <v>79</v>
      </c>
      <c r="G202" s="161"/>
      <c r="H202" s="177"/>
      <c r="J202" s="1" t="b">
        <f>EXACT(G202,'Vh5205_C-98'!G202)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EXACT(G203,'Vh5205_C-98'!G203)</f>
        <v>1</v>
      </c>
    </row>
    <row r="204" spans="1:10" s="7" customFormat="1" ht="17.5" x14ac:dyDescent="0.35">
      <c r="A204" s="90">
        <v>199</v>
      </c>
      <c r="B204" s="10" t="s">
        <v>713</v>
      </c>
      <c r="C204" s="10" t="s">
        <v>180</v>
      </c>
      <c r="D204" s="102" t="s">
        <v>181</v>
      </c>
      <c r="E204" s="100" t="s">
        <v>1</v>
      </c>
      <c r="F204" s="23" t="s">
        <v>26</v>
      </c>
      <c r="G204" s="161" t="s">
        <v>524</v>
      </c>
      <c r="H204" s="177"/>
      <c r="J204" s="1" t="b">
        <f>EXACT(G204,'Vh5205_C-98'!G204)</f>
        <v>1</v>
      </c>
    </row>
    <row r="205" spans="1:10" s="7" customFormat="1" x14ac:dyDescent="0.35">
      <c r="A205" s="90">
        <v>200</v>
      </c>
      <c r="B205" s="146" t="s">
        <v>713</v>
      </c>
      <c r="C205" s="146" t="s">
        <v>37</v>
      </c>
      <c r="D205" s="146" t="s">
        <v>50</v>
      </c>
      <c r="E205" s="146" t="s">
        <v>1</v>
      </c>
      <c r="F205" s="23" t="s">
        <v>26</v>
      </c>
      <c r="G205" s="216">
        <v>28</v>
      </c>
      <c r="H205" s="177"/>
      <c r="J205" s="1" t="b">
        <f>EXACT(G205,'Vh5205_C-98'!G205)</f>
        <v>0</v>
      </c>
    </row>
    <row r="206" spans="1:10" s="7" customFormat="1" ht="17.5" x14ac:dyDescent="0.35">
      <c r="A206" s="90">
        <v>201</v>
      </c>
      <c r="B206" s="87" t="s">
        <v>713</v>
      </c>
      <c r="C206" s="87" t="s">
        <v>610</v>
      </c>
      <c r="D206" s="13" t="s">
        <v>182</v>
      </c>
      <c r="E206" s="103" t="s">
        <v>1</v>
      </c>
      <c r="F206" s="24" t="s">
        <v>26</v>
      </c>
      <c r="G206" s="217">
        <v>56</v>
      </c>
      <c r="H206" s="180"/>
      <c r="J206" s="1" t="b">
        <f>EXACT(G206,'Vh5205_C-98'!G206)</f>
        <v>1</v>
      </c>
    </row>
    <row r="207" spans="1:10" s="7" customFormat="1" x14ac:dyDescent="0.35">
      <c r="A207" s="90">
        <v>202</v>
      </c>
      <c r="B207" s="5" t="s">
        <v>714</v>
      </c>
      <c r="C207" s="5" t="s">
        <v>392</v>
      </c>
      <c r="D207" s="146"/>
      <c r="E207" s="146"/>
      <c r="F207" s="23" t="s">
        <v>26</v>
      </c>
      <c r="G207" s="161" t="s">
        <v>524</v>
      </c>
      <c r="H207" s="177" t="s">
        <v>652</v>
      </c>
      <c r="J207" s="176" t="b">
        <f>EXACT(G207,'Vh5205_C-98'!G207)</f>
        <v>1</v>
      </c>
    </row>
    <row r="208" spans="1:10" s="7" customFormat="1" x14ac:dyDescent="0.35">
      <c r="A208" s="90">
        <v>203</v>
      </c>
      <c r="B208" s="146" t="s">
        <v>714</v>
      </c>
      <c r="C208" s="146" t="s">
        <v>25</v>
      </c>
      <c r="D208" s="146" t="s">
        <v>601</v>
      </c>
      <c r="E208" s="146" t="s">
        <v>1</v>
      </c>
      <c r="F208" s="19" t="s">
        <v>26</v>
      </c>
      <c r="G208" s="218">
        <v>28.8</v>
      </c>
      <c r="H208" s="177"/>
      <c r="J208" s="1" t="b">
        <f>EXACT(G208,'Vh5205_C-98'!G208)</f>
        <v>0</v>
      </c>
    </row>
    <row r="209" spans="1:10" s="7" customFormat="1" x14ac:dyDescent="0.35">
      <c r="A209" s="90">
        <v>204</v>
      </c>
      <c r="B209" s="146" t="s">
        <v>714</v>
      </c>
      <c r="C209" s="146" t="s">
        <v>33</v>
      </c>
      <c r="D209" s="146" t="s">
        <v>602</v>
      </c>
      <c r="E209" s="146" t="s">
        <v>1</v>
      </c>
      <c r="F209" s="19" t="s">
        <v>26</v>
      </c>
      <c r="G209" s="219">
        <v>0.251</v>
      </c>
      <c r="H209" s="177"/>
      <c r="J209" s="1" t="b">
        <f>EXACT(G209,'Vh5205_C-98'!G209)</f>
        <v>0</v>
      </c>
    </row>
    <row r="210" spans="1:10" s="7" customFormat="1" ht="17.5" x14ac:dyDescent="0.35">
      <c r="A210" s="90">
        <v>205</v>
      </c>
      <c r="B210" s="146" t="s">
        <v>714</v>
      </c>
      <c r="C210" s="146" t="s">
        <v>27</v>
      </c>
      <c r="D210" s="146" t="s">
        <v>603</v>
      </c>
      <c r="E210" s="146" t="s">
        <v>1</v>
      </c>
      <c r="F210" s="19" t="s">
        <v>26</v>
      </c>
      <c r="G210" s="219">
        <v>0.24199999999999999</v>
      </c>
      <c r="H210" s="177"/>
      <c r="J210" s="1" t="b">
        <f>EXACT(G210,'Vh5205_C-98'!G210)</f>
        <v>0</v>
      </c>
    </row>
    <row r="211" spans="1:10" s="7" customFormat="1" x14ac:dyDescent="0.35">
      <c r="A211" s="90">
        <v>206</v>
      </c>
      <c r="B211" s="146" t="s">
        <v>714</v>
      </c>
      <c r="C211" s="146" t="s">
        <v>34</v>
      </c>
      <c r="D211" s="146" t="s">
        <v>604</v>
      </c>
      <c r="E211" s="146" t="s">
        <v>1</v>
      </c>
      <c r="F211" s="19" t="s">
        <v>26</v>
      </c>
      <c r="G211" s="216">
        <v>8.9999999999999993E-3</v>
      </c>
      <c r="H211" s="177"/>
      <c r="J211" s="1" t="b">
        <f>EXACT(G211,'Vh5205_C-98'!G211)</f>
        <v>0</v>
      </c>
    </row>
    <row r="212" spans="1:10" s="7" customFormat="1" x14ac:dyDescent="0.35">
      <c r="A212" s="90">
        <v>207</v>
      </c>
      <c r="B212" s="146" t="s">
        <v>714</v>
      </c>
      <c r="C212" s="146" t="s">
        <v>24</v>
      </c>
      <c r="D212" s="146" t="s">
        <v>605</v>
      </c>
      <c r="E212" s="146" t="s">
        <v>1</v>
      </c>
      <c r="F212" s="19" t="s">
        <v>26</v>
      </c>
      <c r="G212" s="219">
        <v>28.5</v>
      </c>
      <c r="H212" s="177"/>
      <c r="J212" s="1" t="b">
        <f>EXACT(G212,'Vh5205_C-98'!G212)</f>
        <v>0</v>
      </c>
    </row>
    <row r="213" spans="1:10" s="7" customFormat="1" ht="17.5" x14ac:dyDescent="0.35">
      <c r="A213" s="123">
        <v>208</v>
      </c>
      <c r="B213" s="87" t="s">
        <v>714</v>
      </c>
      <c r="C213" s="87" t="s">
        <v>23</v>
      </c>
      <c r="D213" s="87" t="s">
        <v>606</v>
      </c>
      <c r="E213" s="87" t="s">
        <v>1</v>
      </c>
      <c r="F213" s="22" t="s">
        <v>26</v>
      </c>
      <c r="G213" s="220">
        <v>28.5</v>
      </c>
      <c r="H213" s="180"/>
      <c r="J213" s="1" t="b">
        <f>EXACT(G213,'Vh5205_C-98'!G213)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588" priority="441" operator="equal">
      <formula>"Mandatory"</formula>
    </cfRule>
  </conditionalFormatting>
  <conditionalFormatting sqref="F4:F213">
    <cfRule type="cellIs" dxfId="587" priority="439" operator="equal">
      <formula>"Recommended"</formula>
    </cfRule>
    <cfRule type="cellIs" dxfId="586" priority="440" operator="equal">
      <formula>"Optional"</formula>
    </cfRule>
  </conditionalFormatting>
  <conditionalFormatting sqref="F4:F213">
    <cfRule type="cellIs" dxfId="585" priority="438" operator="equal">
      <formula>"Undecided"</formula>
    </cfRule>
  </conditionalFormatting>
  <conditionalFormatting sqref="G227:G232">
    <cfRule type="cellIs" dxfId="584" priority="272" operator="notEqual">
      <formula>0</formula>
    </cfRule>
  </conditionalFormatting>
  <conditionalFormatting sqref="J4:J213">
    <cfRule type="cellIs" dxfId="583" priority="90" operator="equal">
      <formula>FALSE</formula>
    </cfRule>
    <cfRule type="cellIs" dxfId="582" priority="91" operator="equal">
      <formula>"""FALSE"""</formula>
    </cfRule>
    <cfRule type="cellIs" dxfId="581" priority="92" operator="equal">
      <formula>"""FALSE"""</formula>
    </cfRule>
  </conditionalFormatting>
  <conditionalFormatting sqref="H124:H130">
    <cfRule type="cellIs" dxfId="580" priority="89" operator="equal">
      <formula>"Mandatory"</formula>
    </cfRule>
  </conditionalFormatting>
  <conditionalFormatting sqref="H124:H130">
    <cfRule type="cellIs" dxfId="579" priority="87" operator="equal">
      <formula>"Recommended"</formula>
    </cfRule>
    <cfRule type="cellIs" dxfId="578" priority="88" operator="equal">
      <formula>"Optional"</formula>
    </cfRule>
  </conditionalFormatting>
  <conditionalFormatting sqref="H124:H130">
    <cfRule type="cellIs" dxfId="577" priority="86" operator="equal">
      <formula>"Undecided"</formula>
    </cfRule>
  </conditionalFormatting>
  <conditionalFormatting sqref="G15 G177 G180 G184:G185 G188 G197:G198 G20 G44 G34:G38 G51:G53 G68 G57:G60 G83:G85 G141 G203 G212:G213 G40">
    <cfRule type="cellIs" dxfId="576" priority="85" operator="equal">
      <formula>"Mandatory"</formula>
    </cfRule>
  </conditionalFormatting>
  <conditionalFormatting sqref="G15 G177 G180 G184:G185 G188 G197:G198 G20 G44 G34:G38 G51:G53 G68 G57:G60 G83:G85 G141 G203 G212:G213 G40">
    <cfRule type="cellIs" dxfId="575" priority="83" operator="equal">
      <formula>"Not Mandatory"</formula>
    </cfRule>
    <cfRule type="cellIs" dxfId="574" priority="84" operator="equal">
      <formula>"Recommended"</formula>
    </cfRule>
  </conditionalFormatting>
  <conditionalFormatting sqref="G44 G37:G38 G52:G53 G57:G60 G85 G40">
    <cfRule type="cellIs" dxfId="573" priority="81" operator="equal">
      <formula>"Not Mandatory"</formula>
    </cfRule>
    <cfRule type="cellIs" dxfId="572" priority="82" operator="equal">
      <formula>"Recommended"</formula>
    </cfRule>
  </conditionalFormatting>
  <conditionalFormatting sqref="G44 G37:G38 G52:G53 G57:G60 G85 G40">
    <cfRule type="cellIs" dxfId="571" priority="79" operator="equal">
      <formula>"Not Mandatory"</formula>
    </cfRule>
    <cfRule type="cellIs" dxfId="570" priority="80" operator="equal">
      <formula>"Recommended"</formula>
    </cfRule>
  </conditionalFormatting>
  <conditionalFormatting sqref="G48:G49">
    <cfRule type="cellIs" dxfId="569" priority="78" operator="equal">
      <formula>"Mandatory"</formula>
    </cfRule>
  </conditionalFormatting>
  <conditionalFormatting sqref="G48:G49">
    <cfRule type="cellIs" dxfId="568" priority="76" operator="equal">
      <formula>"Not Mandatory"</formula>
    </cfRule>
    <cfRule type="cellIs" dxfId="567" priority="77" operator="equal">
      <formula>"Recommended"</formula>
    </cfRule>
  </conditionalFormatting>
  <conditionalFormatting sqref="G48:G49">
    <cfRule type="cellIs" dxfId="566" priority="74" operator="equal">
      <formula>"Not Mandatory"</formula>
    </cfRule>
    <cfRule type="cellIs" dxfId="565" priority="75" operator="equal">
      <formula>"Recommended"</formula>
    </cfRule>
  </conditionalFormatting>
  <conditionalFormatting sqref="G48:G49">
    <cfRule type="cellIs" dxfId="564" priority="72" operator="equal">
      <formula>"Not Mandatory"</formula>
    </cfRule>
    <cfRule type="cellIs" dxfId="563" priority="73" operator="equal">
      <formula>"Recommended"</formula>
    </cfRule>
  </conditionalFormatting>
  <conditionalFormatting sqref="G69">
    <cfRule type="cellIs" dxfId="562" priority="71" operator="equal">
      <formula>"Mandatory"</formula>
    </cfRule>
  </conditionalFormatting>
  <conditionalFormatting sqref="G69">
    <cfRule type="cellIs" dxfId="561" priority="69" operator="equal">
      <formula>"Not Mandatory"</formula>
    </cfRule>
    <cfRule type="cellIs" dxfId="560" priority="70" operator="equal">
      <formula>"Recommended"</formula>
    </cfRule>
  </conditionalFormatting>
  <conditionalFormatting sqref="G86">
    <cfRule type="cellIs" dxfId="559" priority="68" operator="equal">
      <formula>"Mandatory"</formula>
    </cfRule>
  </conditionalFormatting>
  <conditionalFormatting sqref="G86">
    <cfRule type="cellIs" dxfId="558" priority="66" operator="equal">
      <formula>"Not Mandatory"</formula>
    </cfRule>
    <cfRule type="cellIs" dxfId="557" priority="67" operator="equal">
      <formula>"Recommended"</formula>
    </cfRule>
  </conditionalFormatting>
  <conditionalFormatting sqref="G86">
    <cfRule type="cellIs" dxfId="556" priority="64" operator="equal">
      <formula>"Not Mandatory"</formula>
    </cfRule>
    <cfRule type="cellIs" dxfId="555" priority="65" operator="equal">
      <formula>"Recommended"</formula>
    </cfRule>
  </conditionalFormatting>
  <conditionalFormatting sqref="G86">
    <cfRule type="cellIs" dxfId="554" priority="62" operator="equal">
      <formula>"Not Mandatory"</formula>
    </cfRule>
    <cfRule type="cellIs" dxfId="553" priority="63" operator="equal">
      <formula>"Recommended"</formula>
    </cfRule>
  </conditionalFormatting>
  <conditionalFormatting sqref="G9:G13">
    <cfRule type="cellIs" dxfId="552" priority="61" operator="equal">
      <formula>"Mandatory"</formula>
    </cfRule>
  </conditionalFormatting>
  <conditionalFormatting sqref="G9:G13">
    <cfRule type="cellIs" dxfId="551" priority="59" operator="equal">
      <formula>"Not Mandatory"</formula>
    </cfRule>
    <cfRule type="cellIs" dxfId="550" priority="60" operator="equal">
      <formula>"Recommended"</formula>
    </cfRule>
  </conditionalFormatting>
  <conditionalFormatting sqref="G31:G33">
    <cfRule type="cellIs" dxfId="549" priority="58" operator="equal">
      <formula>"Mandatory"</formula>
    </cfRule>
  </conditionalFormatting>
  <conditionalFormatting sqref="G31:G33">
    <cfRule type="cellIs" dxfId="548" priority="56" operator="equal">
      <formula>"Not Mandatory"</formula>
    </cfRule>
    <cfRule type="cellIs" dxfId="547" priority="57" operator="equal">
      <formula>"Recommended"</formula>
    </cfRule>
  </conditionalFormatting>
  <conditionalFormatting sqref="G31:G33">
    <cfRule type="cellIs" dxfId="546" priority="54" operator="equal">
      <formula>"Not Mandatory"</formula>
    </cfRule>
    <cfRule type="cellIs" dxfId="545" priority="55" operator="equal">
      <formula>"Recommended"</formula>
    </cfRule>
  </conditionalFormatting>
  <conditionalFormatting sqref="G31:G33">
    <cfRule type="cellIs" dxfId="544" priority="52" operator="equal">
      <formula>"Not Mandatory"</formula>
    </cfRule>
    <cfRule type="cellIs" dxfId="543" priority="53" operator="equal">
      <formula>"Recommended"</formula>
    </cfRule>
  </conditionalFormatting>
  <conditionalFormatting sqref="G41">
    <cfRule type="cellIs" dxfId="542" priority="51" operator="equal">
      <formula>"Mandatory"</formula>
    </cfRule>
  </conditionalFormatting>
  <conditionalFormatting sqref="G41">
    <cfRule type="cellIs" dxfId="541" priority="49" operator="equal">
      <formula>"Not Mandatory"</formula>
    </cfRule>
    <cfRule type="cellIs" dxfId="540" priority="50" operator="equal">
      <formula>"Recommended"</formula>
    </cfRule>
  </conditionalFormatting>
  <conditionalFormatting sqref="G41">
    <cfRule type="cellIs" dxfId="539" priority="47" operator="equal">
      <formula>"Not Mandatory"</formula>
    </cfRule>
    <cfRule type="cellIs" dxfId="538" priority="48" operator="equal">
      <formula>"Recommended"</formula>
    </cfRule>
  </conditionalFormatting>
  <conditionalFormatting sqref="G41">
    <cfRule type="cellIs" dxfId="537" priority="45" operator="equal">
      <formula>"Not Mandatory"</formula>
    </cfRule>
    <cfRule type="cellIs" dxfId="536" priority="46" operator="equal">
      <formula>"Recommended"</formula>
    </cfRule>
  </conditionalFormatting>
  <conditionalFormatting sqref="G90">
    <cfRule type="cellIs" dxfId="535" priority="44" operator="equal">
      <formula>"Mandatory"</formula>
    </cfRule>
  </conditionalFormatting>
  <conditionalFormatting sqref="G90">
    <cfRule type="cellIs" dxfId="534" priority="42" operator="equal">
      <formula>"Not Mandatory"</formula>
    </cfRule>
    <cfRule type="cellIs" dxfId="533" priority="43" operator="equal">
      <formula>"Recommended"</formula>
    </cfRule>
  </conditionalFormatting>
  <conditionalFormatting sqref="G122">
    <cfRule type="cellIs" dxfId="532" priority="41" operator="equal">
      <formula>"Mandatory"</formula>
    </cfRule>
  </conditionalFormatting>
  <conditionalFormatting sqref="G122">
    <cfRule type="cellIs" dxfId="531" priority="39" operator="equal">
      <formula>"Not Mandatory"</formula>
    </cfRule>
    <cfRule type="cellIs" dxfId="530" priority="40" operator="equal">
      <formula>"Recommended"</formula>
    </cfRule>
  </conditionalFormatting>
  <conditionalFormatting sqref="G119">
    <cfRule type="cellIs" dxfId="529" priority="38" operator="equal">
      <formula>"Mandatory"</formula>
    </cfRule>
  </conditionalFormatting>
  <conditionalFormatting sqref="G119">
    <cfRule type="cellIs" dxfId="528" priority="36" operator="equal">
      <formula>"Not Mandatory"</formula>
    </cfRule>
    <cfRule type="cellIs" dxfId="527" priority="37" operator="equal">
      <formula>"Recommended"</formula>
    </cfRule>
  </conditionalFormatting>
  <conditionalFormatting sqref="G109">
    <cfRule type="cellIs" dxfId="526" priority="35" operator="equal">
      <formula>"Mandatory"</formula>
    </cfRule>
  </conditionalFormatting>
  <conditionalFormatting sqref="G109">
    <cfRule type="cellIs" dxfId="525" priority="33" operator="equal">
      <formula>"Not Mandatory"</formula>
    </cfRule>
    <cfRule type="cellIs" dxfId="524" priority="34" operator="equal">
      <formula>"Recommended"</formula>
    </cfRule>
  </conditionalFormatting>
  <conditionalFormatting sqref="G130">
    <cfRule type="cellIs" dxfId="523" priority="32" operator="equal">
      <formula>"Mandatory"</formula>
    </cfRule>
  </conditionalFormatting>
  <conditionalFormatting sqref="G130">
    <cfRule type="cellIs" dxfId="522" priority="30" operator="equal">
      <formula>"Not Mandatory"</formula>
    </cfRule>
    <cfRule type="cellIs" dxfId="521" priority="31" operator="equal">
      <formula>"Recommended"</formula>
    </cfRule>
  </conditionalFormatting>
  <conditionalFormatting sqref="G125">
    <cfRule type="cellIs" dxfId="520" priority="29" operator="equal">
      <formula>"Mandatory"</formula>
    </cfRule>
  </conditionalFormatting>
  <conditionalFormatting sqref="G125">
    <cfRule type="cellIs" dxfId="519" priority="27" operator="equal">
      <formula>"Not Mandatory"</formula>
    </cfRule>
    <cfRule type="cellIs" dxfId="518" priority="28" operator="equal">
      <formula>"Recommended"</formula>
    </cfRule>
  </conditionalFormatting>
  <conditionalFormatting sqref="G127:G129">
    <cfRule type="cellIs" dxfId="517" priority="26" operator="equal">
      <formula>"Mandatory"</formula>
    </cfRule>
  </conditionalFormatting>
  <conditionalFormatting sqref="G127:G129">
    <cfRule type="cellIs" dxfId="516" priority="24" operator="equal">
      <formula>"Not Mandatory"</formula>
    </cfRule>
    <cfRule type="cellIs" dxfId="515" priority="25" operator="equal">
      <formula>"Recommended"</formula>
    </cfRule>
  </conditionalFormatting>
  <conditionalFormatting sqref="G135:G136">
    <cfRule type="cellIs" dxfId="514" priority="23" operator="equal">
      <formula>"Mandatory"</formula>
    </cfRule>
  </conditionalFormatting>
  <conditionalFormatting sqref="G135:G136">
    <cfRule type="cellIs" dxfId="513" priority="21" operator="equal">
      <formula>"Not Mandatory"</formula>
    </cfRule>
    <cfRule type="cellIs" dxfId="512" priority="22" operator="equal">
      <formula>"Recommended"</formula>
    </cfRule>
  </conditionalFormatting>
  <conditionalFormatting sqref="G154">
    <cfRule type="cellIs" dxfId="511" priority="20" operator="equal">
      <formula>"Mandatory"</formula>
    </cfRule>
  </conditionalFormatting>
  <conditionalFormatting sqref="G154">
    <cfRule type="cellIs" dxfId="510" priority="18" operator="equal">
      <formula>"Not Mandatory"</formula>
    </cfRule>
    <cfRule type="cellIs" dxfId="509" priority="19" operator="equal">
      <formula>"Recommended"</formula>
    </cfRule>
  </conditionalFormatting>
  <conditionalFormatting sqref="G162">
    <cfRule type="cellIs" dxfId="508" priority="17" operator="equal">
      <formula>"Mandatory"</formula>
    </cfRule>
  </conditionalFormatting>
  <conditionalFormatting sqref="G162">
    <cfRule type="cellIs" dxfId="507" priority="15" operator="equal">
      <formula>"Not Mandatory"</formula>
    </cfRule>
    <cfRule type="cellIs" dxfId="506" priority="16" operator="equal">
      <formula>"Recommended"</formula>
    </cfRule>
  </conditionalFormatting>
  <conditionalFormatting sqref="G66">
    <cfRule type="cellIs" dxfId="505" priority="14" operator="equal">
      <formula>"Mandatory"</formula>
    </cfRule>
  </conditionalFormatting>
  <conditionalFormatting sqref="G66">
    <cfRule type="cellIs" dxfId="504" priority="12" operator="equal">
      <formula>"Not Mandatory"</formula>
    </cfRule>
    <cfRule type="cellIs" dxfId="503" priority="13" operator="equal">
      <formula>"Recommended"</formula>
    </cfRule>
  </conditionalFormatting>
  <conditionalFormatting sqref="G66">
    <cfRule type="cellIs" dxfId="502" priority="10" operator="equal">
      <formula>"Not Mandatory"</formula>
    </cfRule>
    <cfRule type="cellIs" dxfId="501" priority="11" operator="equal">
      <formula>"Recommended"</formula>
    </cfRule>
  </conditionalFormatting>
  <conditionalFormatting sqref="G66">
    <cfRule type="cellIs" dxfId="500" priority="8" operator="equal">
      <formula>"Not Mandatory"</formula>
    </cfRule>
    <cfRule type="cellIs" dxfId="499" priority="9" operator="equal">
      <formula>"Recommended"</formula>
    </cfRule>
  </conditionalFormatting>
  <conditionalFormatting sqref="G39">
    <cfRule type="cellIs" dxfId="498" priority="7" operator="equal">
      <formula>"Mandatory"</formula>
    </cfRule>
  </conditionalFormatting>
  <conditionalFormatting sqref="G39">
    <cfRule type="cellIs" dxfId="497" priority="5" operator="equal">
      <formula>"Not Mandatory"</formula>
    </cfRule>
    <cfRule type="cellIs" dxfId="496" priority="6" operator="equal">
      <formula>"Recommended"</formula>
    </cfRule>
  </conditionalFormatting>
  <conditionalFormatting sqref="G39">
    <cfRule type="cellIs" dxfId="495" priority="3" operator="equal">
      <formula>"Not Mandatory"</formula>
    </cfRule>
    <cfRule type="cellIs" dxfId="494" priority="4" operator="equal">
      <formula>"Recommended"</formula>
    </cfRule>
  </conditionalFormatting>
  <conditionalFormatting sqref="G39">
    <cfRule type="cellIs" dxfId="493" priority="1" operator="equal">
      <formula>"Not Mandatory"</formula>
    </cfRule>
    <cfRule type="cellIs" dxfId="492" priority="2" operator="equal">
      <formula>"Recommended"</formula>
    </cfRule>
  </conditionalFormatting>
  <dataValidations count="1">
    <dataValidation type="list" allowBlank="1" showInputMessage="1" showErrorMessage="1" sqref="F4:F213" xr:uid="{184E8048-1E26-4001-97CA-B78779C6AA67}">
      <formula1>$F$1:$F$2</formula1>
    </dataValidation>
  </dataValidations>
  <pageMargins left="0.7" right="0.7" top="0.75" bottom="0.75" header="0.3" footer="0.3"/>
  <pageSetup paperSize="66" scale="3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A0D49-D2DA-4E74-AAC8-28EA688EF1F5}">
  <sheetPr codeName="Sheet9">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45007.365416666667</v>
      </c>
      <c r="H4" s="162"/>
      <c r="J4" s="2" t="b">
        <f>EXACT(G4,'Vh5205_C-82'!G4)</f>
        <v>0</v>
      </c>
    </row>
    <row r="5" spans="1:10" x14ac:dyDescent="0.35">
      <c r="A5" s="90">
        <v>2</v>
      </c>
      <c r="B5" s="10" t="s">
        <v>685</v>
      </c>
      <c r="C5" s="10" t="s">
        <v>55</v>
      </c>
      <c r="D5" s="146"/>
      <c r="E5" s="146"/>
      <c r="F5" s="19" t="s">
        <v>26</v>
      </c>
      <c r="G5" s="202">
        <v>45014.073750000003</v>
      </c>
      <c r="H5" s="58"/>
      <c r="J5" s="2" t="b">
        <f>EXACT(G5,'Vh5205_C-82'!G5)</f>
        <v>0</v>
      </c>
    </row>
    <row r="6" spans="1:10" x14ac:dyDescent="0.35">
      <c r="A6" s="90">
        <v>3</v>
      </c>
      <c r="B6" s="146" t="s">
        <v>685</v>
      </c>
      <c r="C6" s="146" t="s">
        <v>41</v>
      </c>
      <c r="D6" s="146"/>
      <c r="E6" s="146"/>
      <c r="F6" s="19" t="s">
        <v>26</v>
      </c>
      <c r="G6" s="161" t="s">
        <v>512</v>
      </c>
      <c r="H6" s="58"/>
      <c r="J6" s="2" t="b">
        <f>EXACT(G6,'Vh5205_C-82'!G6)</f>
        <v>0</v>
      </c>
    </row>
    <row r="7" spans="1:10" x14ac:dyDescent="0.35">
      <c r="A7" s="90">
        <v>4</v>
      </c>
      <c r="B7" s="146" t="s">
        <v>685</v>
      </c>
      <c r="C7" s="146" t="s">
        <v>7</v>
      </c>
      <c r="D7" s="146"/>
      <c r="E7" s="146"/>
      <c r="F7" s="19" t="s">
        <v>79</v>
      </c>
      <c r="G7" s="192" t="s">
        <v>499</v>
      </c>
      <c r="H7" s="53" t="s">
        <v>652</v>
      </c>
      <c r="J7" s="176" t="b">
        <f>EXACT(G7,'Vh5205_C-82'!G7)</f>
        <v>1</v>
      </c>
    </row>
    <row r="8" spans="1:10" x14ac:dyDescent="0.35">
      <c r="A8" s="90">
        <v>5</v>
      </c>
      <c r="B8" s="87" t="s">
        <v>685</v>
      </c>
      <c r="C8" s="87" t="s">
        <v>39</v>
      </c>
      <c r="D8" s="87"/>
      <c r="E8" s="87"/>
      <c r="F8" s="22" t="s">
        <v>79</v>
      </c>
      <c r="G8" s="194" t="s">
        <v>524</v>
      </c>
      <c r="H8" s="181" t="s">
        <v>652</v>
      </c>
      <c r="J8" s="176" t="b">
        <f>EXACT(G8,'Vh5205_C-82'!G8)</f>
        <v>1</v>
      </c>
    </row>
    <row r="9" spans="1:10" x14ac:dyDescent="0.35">
      <c r="A9" s="90">
        <v>6</v>
      </c>
      <c r="B9" s="10" t="s">
        <v>686</v>
      </c>
      <c r="C9" s="10" t="s">
        <v>301</v>
      </c>
      <c r="D9" s="10"/>
      <c r="E9" s="10"/>
      <c r="F9" s="19" t="s">
        <v>26</v>
      </c>
      <c r="G9" s="192" t="s">
        <v>196</v>
      </c>
      <c r="H9" s="163" t="s">
        <v>652</v>
      </c>
      <c r="J9" s="176" t="b">
        <f>EXACT(G9,'Vh5205_C-82'!G9)</f>
        <v>1</v>
      </c>
    </row>
    <row r="10" spans="1:10" x14ac:dyDescent="0.35">
      <c r="A10" s="90">
        <v>7</v>
      </c>
      <c r="B10" s="10" t="s">
        <v>686</v>
      </c>
      <c r="C10" s="10" t="s">
        <v>302</v>
      </c>
      <c r="D10" s="94"/>
      <c r="E10" s="146"/>
      <c r="F10" s="19" t="s">
        <v>26</v>
      </c>
      <c r="G10" s="161" t="s">
        <v>523</v>
      </c>
      <c r="H10" s="140" t="s">
        <v>652</v>
      </c>
      <c r="J10" s="176" t="b">
        <f>EXACT(G10,'Vh5205_C-82'!G10)</f>
        <v>1</v>
      </c>
    </row>
    <row r="11" spans="1:10" x14ac:dyDescent="0.35">
      <c r="A11" s="90">
        <v>8</v>
      </c>
      <c r="B11" s="146" t="s">
        <v>686</v>
      </c>
      <c r="C11" s="146" t="s">
        <v>134</v>
      </c>
      <c r="D11" s="146" t="s">
        <v>15</v>
      </c>
      <c r="E11" s="146" t="s">
        <v>85</v>
      </c>
      <c r="F11" s="19" t="s">
        <v>26</v>
      </c>
      <c r="G11" s="192" t="s">
        <v>197</v>
      </c>
      <c r="H11" s="53" t="s">
        <v>652</v>
      </c>
      <c r="J11" s="176" t="b">
        <f>EXACT(G11,'Vh5205_C-82'!G11)</f>
        <v>1</v>
      </c>
    </row>
    <row r="12" spans="1:10" x14ac:dyDescent="0.35">
      <c r="A12" s="90">
        <v>9</v>
      </c>
      <c r="B12" s="10" t="s">
        <v>686</v>
      </c>
      <c r="C12" s="10" t="s">
        <v>310</v>
      </c>
      <c r="D12" s="146"/>
      <c r="E12" s="146"/>
      <c r="F12" s="19" t="s">
        <v>26</v>
      </c>
      <c r="G12" s="192" t="s">
        <v>198</v>
      </c>
      <c r="H12" s="53" t="s">
        <v>652</v>
      </c>
      <c r="J12" s="176" t="b">
        <f>EXACT(G12,'Vh5205_C-82'!G12)</f>
        <v>1</v>
      </c>
    </row>
    <row r="13" spans="1:10" x14ac:dyDescent="0.35">
      <c r="A13" s="90">
        <v>10</v>
      </c>
      <c r="B13" s="10" t="s">
        <v>686</v>
      </c>
      <c r="C13" s="10" t="s">
        <v>311</v>
      </c>
      <c r="D13" s="146"/>
      <c r="E13" s="146"/>
      <c r="F13" s="19" t="s">
        <v>26</v>
      </c>
      <c r="G13" s="192" t="s">
        <v>199</v>
      </c>
      <c r="H13" s="53" t="s">
        <v>652</v>
      </c>
      <c r="J13" s="176" t="b">
        <f>EXACT(G13,'Vh5205_C-82'!G13)</f>
        <v>1</v>
      </c>
    </row>
    <row r="14" spans="1:10" ht="17.5" x14ac:dyDescent="0.35">
      <c r="A14" s="90">
        <v>11</v>
      </c>
      <c r="B14" s="10" t="s">
        <v>686</v>
      </c>
      <c r="C14" s="10" t="s">
        <v>123</v>
      </c>
      <c r="D14" s="146" t="s">
        <v>557</v>
      </c>
      <c r="E14" s="146" t="s">
        <v>4</v>
      </c>
      <c r="F14" s="19" t="s">
        <v>26</v>
      </c>
      <c r="G14" s="161">
        <v>200</v>
      </c>
      <c r="H14" s="140"/>
      <c r="J14" s="1" t="b">
        <f>EXACT(G14,'Vh5205_C-82'!G14)</f>
        <v>1</v>
      </c>
    </row>
    <row r="15" spans="1:10" x14ac:dyDescent="0.35">
      <c r="A15" s="90">
        <v>12</v>
      </c>
      <c r="B15" s="146" t="s">
        <v>686</v>
      </c>
      <c r="C15" s="146" t="s">
        <v>116</v>
      </c>
      <c r="D15" s="146"/>
      <c r="E15" s="146"/>
      <c r="F15" s="19" t="s">
        <v>26</v>
      </c>
      <c r="G15" s="161" t="s">
        <v>684</v>
      </c>
      <c r="H15" s="53" t="s">
        <v>652</v>
      </c>
      <c r="J15" s="176" t="b">
        <f>EXACT(G15,'Vh5205_C-82'!G15)</f>
        <v>1</v>
      </c>
    </row>
    <row r="16" spans="1:10" x14ac:dyDescent="0.35">
      <c r="A16" s="90">
        <v>13</v>
      </c>
      <c r="B16" s="10" t="s">
        <v>686</v>
      </c>
      <c r="C16" s="10" t="s">
        <v>408</v>
      </c>
      <c r="D16" s="146"/>
      <c r="E16" s="146"/>
      <c r="F16" s="19" t="s">
        <v>26</v>
      </c>
      <c r="G16" s="161" t="s">
        <v>519</v>
      </c>
      <c r="H16" s="140"/>
      <c r="J16" s="1" t="b">
        <f>EXACT(G16,'Vh5205_C-82'!G16)</f>
        <v>1</v>
      </c>
    </row>
    <row r="17" spans="1:10" x14ac:dyDescent="0.35">
      <c r="A17" s="90">
        <v>14</v>
      </c>
      <c r="B17" s="10" t="s">
        <v>686</v>
      </c>
      <c r="C17" s="10" t="s">
        <v>409</v>
      </c>
      <c r="D17" s="146"/>
      <c r="E17" s="146"/>
      <c r="F17" s="19" t="s">
        <v>26</v>
      </c>
      <c r="G17" s="161" t="s">
        <v>524</v>
      </c>
      <c r="H17" s="140"/>
      <c r="J17" s="1" t="b">
        <f>EXACT(G17,'Vh5205_C-82'!G17)</f>
        <v>1</v>
      </c>
    </row>
    <row r="18" spans="1:10" s="7" customFormat="1" x14ac:dyDescent="0.35">
      <c r="A18" s="90">
        <v>15</v>
      </c>
      <c r="B18" s="146" t="s">
        <v>686</v>
      </c>
      <c r="C18" s="146" t="s">
        <v>177</v>
      </c>
      <c r="D18" s="146"/>
      <c r="E18" s="146"/>
      <c r="F18" s="19" t="s">
        <v>26</v>
      </c>
      <c r="G18" s="161" t="s">
        <v>524</v>
      </c>
      <c r="H18" s="177"/>
      <c r="J18" s="1" t="b">
        <f>EXACT(G18,'Vh5205_C-82'!G18)</f>
        <v>1</v>
      </c>
    </row>
    <row r="19" spans="1:10" x14ac:dyDescent="0.35">
      <c r="A19" s="90">
        <v>16</v>
      </c>
      <c r="B19" s="10" t="s">
        <v>686</v>
      </c>
      <c r="C19" s="10" t="s">
        <v>124</v>
      </c>
      <c r="D19" s="146"/>
      <c r="E19" s="146" t="s">
        <v>0</v>
      </c>
      <c r="F19" s="19" t="s">
        <v>79</v>
      </c>
      <c r="G19" s="203"/>
      <c r="H19" s="140"/>
      <c r="J19" s="1" t="b">
        <f>EXACT(G19,'Vh5205_C-82'!G19)</f>
        <v>1</v>
      </c>
    </row>
    <row r="20" spans="1:10" x14ac:dyDescent="0.35">
      <c r="A20" s="90">
        <v>17</v>
      </c>
      <c r="B20" s="10" t="s">
        <v>686</v>
      </c>
      <c r="C20" s="10" t="s">
        <v>188</v>
      </c>
      <c r="D20" s="146"/>
      <c r="E20" s="146" t="s">
        <v>0</v>
      </c>
      <c r="F20" s="19" t="s">
        <v>26</v>
      </c>
      <c r="G20" s="193" t="s">
        <v>618</v>
      </c>
      <c r="H20" s="140" t="s">
        <v>652</v>
      </c>
      <c r="J20" s="176" t="b">
        <f>EXACT(G20,'Vh5205_C-82'!G20)</f>
        <v>1</v>
      </c>
    </row>
    <row r="21" spans="1:10" x14ac:dyDescent="0.35">
      <c r="A21" s="90">
        <v>18</v>
      </c>
      <c r="B21" s="13" t="s">
        <v>686</v>
      </c>
      <c r="C21" s="13" t="s">
        <v>131</v>
      </c>
      <c r="D21" s="87"/>
      <c r="E21" s="87"/>
      <c r="F21" s="22" t="s">
        <v>79</v>
      </c>
      <c r="G21" s="196"/>
      <c r="H21" s="182"/>
      <c r="J21" s="1" t="b">
        <f>EXACT(G21,'Vh5205_C-82'!G21)</f>
        <v>1</v>
      </c>
    </row>
    <row r="22" spans="1:10" x14ac:dyDescent="0.35">
      <c r="A22" s="90">
        <v>19</v>
      </c>
      <c r="B22" s="146" t="s">
        <v>687</v>
      </c>
      <c r="C22" s="146" t="s">
        <v>65</v>
      </c>
      <c r="D22" s="146"/>
      <c r="E22" s="146"/>
      <c r="F22" s="19" t="s">
        <v>79</v>
      </c>
      <c r="G22" s="192" t="s">
        <v>48</v>
      </c>
      <c r="H22" s="53" t="s">
        <v>652</v>
      </c>
      <c r="J22" s="176" t="b">
        <f>EXACT(G22,'Vh5205_C-82'!G22)</f>
        <v>1</v>
      </c>
    </row>
    <row r="23" spans="1:10" x14ac:dyDescent="0.35">
      <c r="A23" s="90">
        <v>20</v>
      </c>
      <c r="B23" s="146" t="s">
        <v>687</v>
      </c>
      <c r="C23" s="146" t="s">
        <v>69</v>
      </c>
      <c r="D23" s="146"/>
      <c r="E23" s="146"/>
      <c r="F23" s="19" t="s">
        <v>79</v>
      </c>
      <c r="G23" s="161"/>
      <c r="H23" s="140"/>
      <c r="J23" s="1" t="b">
        <f>EXACT(G23,'Vh5205_C-82'!G23)</f>
        <v>1</v>
      </c>
    </row>
    <row r="24" spans="1:10" x14ac:dyDescent="0.35">
      <c r="A24" s="90">
        <v>21</v>
      </c>
      <c r="B24" s="146" t="s">
        <v>687</v>
      </c>
      <c r="C24" s="146" t="s">
        <v>70</v>
      </c>
      <c r="D24" s="146"/>
      <c r="E24" s="146"/>
      <c r="F24" s="19" t="s">
        <v>79</v>
      </c>
      <c r="G24" s="161"/>
      <c r="H24" s="140"/>
      <c r="J24" s="1" t="b">
        <f>EXACT(G24,'Vh5205_C-82'!G24)</f>
        <v>1</v>
      </c>
    </row>
    <row r="25" spans="1:10" x14ac:dyDescent="0.35">
      <c r="A25" s="90">
        <v>22</v>
      </c>
      <c r="B25" s="146" t="s">
        <v>687</v>
      </c>
      <c r="C25" s="146" t="s">
        <v>71</v>
      </c>
      <c r="D25" s="146"/>
      <c r="E25" s="146"/>
      <c r="F25" s="19" t="s">
        <v>79</v>
      </c>
      <c r="G25" s="161"/>
      <c r="H25" s="140"/>
      <c r="J25" s="1" t="b">
        <f>EXACT(G25,'Vh5205_C-82'!G25)</f>
        <v>1</v>
      </c>
    </row>
    <row r="26" spans="1:10" x14ac:dyDescent="0.35">
      <c r="A26" s="90">
        <v>23</v>
      </c>
      <c r="B26" s="146" t="s">
        <v>687</v>
      </c>
      <c r="C26" s="146" t="s">
        <v>72</v>
      </c>
      <c r="D26" s="146"/>
      <c r="E26" s="146"/>
      <c r="F26" s="19" t="s">
        <v>79</v>
      </c>
      <c r="G26" s="161"/>
      <c r="H26" s="140"/>
      <c r="J26" s="1" t="b">
        <f>EXACT(G26,'Vh5205_C-82'!G26)</f>
        <v>1</v>
      </c>
    </row>
    <row r="27" spans="1:10" x14ac:dyDescent="0.35">
      <c r="A27" s="90">
        <v>24</v>
      </c>
      <c r="B27" s="146" t="s">
        <v>687</v>
      </c>
      <c r="C27" s="146" t="s">
        <v>81</v>
      </c>
      <c r="D27" s="146"/>
      <c r="E27" s="146"/>
      <c r="F27" s="19" t="s">
        <v>79</v>
      </c>
      <c r="G27" s="161"/>
      <c r="H27" s="140"/>
      <c r="J27" s="1" t="b">
        <f>EXACT(G27,'Vh5205_C-82'!G27)</f>
        <v>1</v>
      </c>
    </row>
    <row r="28" spans="1:10" x14ac:dyDescent="0.35">
      <c r="A28" s="90">
        <v>25</v>
      </c>
      <c r="B28" s="146" t="s">
        <v>687</v>
      </c>
      <c r="C28" s="146" t="s">
        <v>82</v>
      </c>
      <c r="D28" s="146"/>
      <c r="E28" s="146"/>
      <c r="F28" s="22" t="s">
        <v>79</v>
      </c>
      <c r="G28" s="196"/>
      <c r="H28" s="182"/>
      <c r="J28" s="1" t="b">
        <f>EXACT(G28,'Vh5205_C-82'!G28)</f>
        <v>1</v>
      </c>
    </row>
    <row r="29" spans="1:10" x14ac:dyDescent="0.35">
      <c r="A29" s="90">
        <v>26</v>
      </c>
      <c r="B29" s="99" t="s">
        <v>688</v>
      </c>
      <c r="C29" s="99" t="s">
        <v>312</v>
      </c>
      <c r="D29" s="100"/>
      <c r="E29" s="100"/>
      <c r="F29" s="18" t="s">
        <v>26</v>
      </c>
      <c r="G29" s="196" t="s">
        <v>200</v>
      </c>
      <c r="H29" s="182" t="s">
        <v>652</v>
      </c>
      <c r="J29" s="176" t="b">
        <f>EXACT(G29,'Vh5205_C-82'!G29)</f>
        <v>1</v>
      </c>
    </row>
    <row r="30" spans="1:10" x14ac:dyDescent="0.35">
      <c r="A30" s="90">
        <v>27</v>
      </c>
      <c r="B30" s="102" t="s">
        <v>689</v>
      </c>
      <c r="C30" s="102" t="s">
        <v>147</v>
      </c>
      <c r="D30" s="100"/>
      <c r="E30" s="100"/>
      <c r="F30" s="18" t="s">
        <v>79</v>
      </c>
      <c r="G30" s="161"/>
      <c r="H30" s="140"/>
      <c r="J30" s="1" t="b">
        <f>EXACT(G30,'Vh5205_C-82'!G30)</f>
        <v>1</v>
      </c>
    </row>
    <row r="31" spans="1:10" s="7" customFormat="1" ht="31" x14ac:dyDescent="0.35">
      <c r="A31" s="90">
        <v>28</v>
      </c>
      <c r="B31" s="10" t="s">
        <v>689</v>
      </c>
      <c r="C31" s="10" t="s">
        <v>324</v>
      </c>
      <c r="D31" s="146"/>
      <c r="E31" s="10"/>
      <c r="F31" s="19" t="s">
        <v>26</v>
      </c>
      <c r="G31" s="161" t="s">
        <v>460</v>
      </c>
      <c r="H31" s="177" t="s">
        <v>652</v>
      </c>
      <c r="J31" s="176" t="b">
        <f>EXACT(G31,'Vh5205_C-82'!G31)</f>
        <v>1</v>
      </c>
    </row>
    <row r="32" spans="1:10" s="7" customFormat="1" x14ac:dyDescent="0.35">
      <c r="A32" s="90">
        <v>29</v>
      </c>
      <c r="B32" s="10" t="s">
        <v>689</v>
      </c>
      <c r="C32" s="10" t="s">
        <v>303</v>
      </c>
      <c r="D32" s="146"/>
      <c r="E32" s="10"/>
      <c r="F32" s="19" t="s">
        <v>26</v>
      </c>
      <c r="G32" s="161" t="s">
        <v>461</v>
      </c>
      <c r="H32" s="177" t="s">
        <v>652</v>
      </c>
      <c r="J32" s="176" t="b">
        <f>EXACT(G32,'Vh5205_C-82'!G32)</f>
        <v>1</v>
      </c>
    </row>
    <row r="33" spans="1:10" ht="31" x14ac:dyDescent="0.35">
      <c r="A33" s="90">
        <v>30</v>
      </c>
      <c r="B33" s="10" t="s">
        <v>689</v>
      </c>
      <c r="C33" s="10" t="s">
        <v>304</v>
      </c>
      <c r="D33" s="146"/>
      <c r="E33" s="146"/>
      <c r="F33" s="19" t="s">
        <v>79</v>
      </c>
      <c r="G33" s="161" t="s">
        <v>285</v>
      </c>
      <c r="H33" s="140" t="s">
        <v>652</v>
      </c>
      <c r="J33" s="176" t="b">
        <f>EXACT(G33,'Vh5205_C-82'!G33)</f>
        <v>1</v>
      </c>
    </row>
    <row r="34" spans="1:10" x14ac:dyDescent="0.35">
      <c r="A34" s="90">
        <v>31</v>
      </c>
      <c r="B34" s="10" t="s">
        <v>689</v>
      </c>
      <c r="C34" s="10" t="s">
        <v>83</v>
      </c>
      <c r="D34" s="146"/>
      <c r="E34" s="146" t="s">
        <v>85</v>
      </c>
      <c r="F34" s="19" t="s">
        <v>79</v>
      </c>
      <c r="G34" s="192"/>
      <c r="H34" s="140"/>
      <c r="J34" s="1" t="b">
        <f>EXACT(G34,'Vh5205_C-82'!G34)</f>
        <v>1</v>
      </c>
    </row>
    <row r="35" spans="1:10" x14ac:dyDescent="0.35">
      <c r="A35" s="90">
        <v>32</v>
      </c>
      <c r="B35" s="10" t="s">
        <v>689</v>
      </c>
      <c r="C35" s="10" t="s">
        <v>84</v>
      </c>
      <c r="D35" s="146"/>
      <c r="E35" s="146"/>
      <c r="F35" s="19" t="s">
        <v>79</v>
      </c>
      <c r="G35" s="192"/>
      <c r="H35" s="140"/>
      <c r="J35" s="1" t="b">
        <f>EXACT(G35,'Vh5205_C-82'!G35)</f>
        <v>1</v>
      </c>
    </row>
    <row r="36" spans="1:10" x14ac:dyDescent="0.35">
      <c r="A36" s="90">
        <v>33</v>
      </c>
      <c r="B36" s="10" t="s">
        <v>689</v>
      </c>
      <c r="C36" s="10" t="s">
        <v>61</v>
      </c>
      <c r="D36" s="146"/>
      <c r="E36" s="146"/>
      <c r="F36" s="19" t="s">
        <v>26</v>
      </c>
      <c r="G36" s="192" t="s">
        <v>611</v>
      </c>
      <c r="H36" s="140" t="s">
        <v>652</v>
      </c>
      <c r="J36" s="176" t="b">
        <f>EXACT(G36,'Vh5205_C-82'!G36)</f>
        <v>1</v>
      </c>
    </row>
    <row r="37" spans="1:10" x14ac:dyDescent="0.35">
      <c r="A37" s="90">
        <v>34</v>
      </c>
      <c r="B37" s="13" t="s">
        <v>689</v>
      </c>
      <c r="C37" s="13" t="s">
        <v>56</v>
      </c>
      <c r="D37" s="146"/>
      <c r="E37" s="146"/>
      <c r="F37" s="22" t="s">
        <v>26</v>
      </c>
      <c r="G37" s="194" t="s">
        <v>201</v>
      </c>
      <c r="H37" s="182" t="s">
        <v>652</v>
      </c>
      <c r="J37" s="176" t="b">
        <f>EXACT(G37,'Vh5205_C-82'!G37)</f>
        <v>1</v>
      </c>
    </row>
    <row r="38" spans="1:10" s="7" customFormat="1" x14ac:dyDescent="0.35">
      <c r="A38" s="90">
        <v>35</v>
      </c>
      <c r="B38" s="10" t="s">
        <v>690</v>
      </c>
      <c r="C38" s="10" t="s">
        <v>77</v>
      </c>
      <c r="D38" s="100"/>
      <c r="E38" s="102"/>
      <c r="F38" s="19" t="s">
        <v>26</v>
      </c>
      <c r="G38" s="161" t="s">
        <v>278</v>
      </c>
      <c r="H38" s="177" t="s">
        <v>652</v>
      </c>
      <c r="J38" s="176" t="b">
        <f>EXACT(G38,'Vh5205_C-82'!G38)</f>
        <v>1</v>
      </c>
    </row>
    <row r="39" spans="1:10" s="7" customFormat="1" ht="64.5" customHeight="1" x14ac:dyDescent="0.35">
      <c r="A39" s="90">
        <v>36</v>
      </c>
      <c r="B39" s="10" t="s">
        <v>690</v>
      </c>
      <c r="C39" s="10" t="s">
        <v>560</v>
      </c>
      <c r="D39" s="146"/>
      <c r="E39" s="10"/>
      <c r="F39" s="19" t="s">
        <v>26</v>
      </c>
      <c r="G39" s="161" t="s">
        <v>716</v>
      </c>
      <c r="H39" s="177" t="s">
        <v>652</v>
      </c>
      <c r="J39" s="176" t="b">
        <f>EXACT(G39,'Vh5205_C-82'!G39)</f>
        <v>1</v>
      </c>
    </row>
    <row r="40" spans="1:10" s="7" customFormat="1" ht="31" x14ac:dyDescent="0.35">
      <c r="A40" s="90">
        <v>37</v>
      </c>
      <c r="B40" s="10" t="s">
        <v>690</v>
      </c>
      <c r="C40" s="10" t="s">
        <v>305</v>
      </c>
      <c r="D40" s="146"/>
      <c r="E40" s="10"/>
      <c r="F40" s="19" t="s">
        <v>26</v>
      </c>
      <c r="G40" s="161" t="s">
        <v>619</v>
      </c>
      <c r="H40" s="177" t="s">
        <v>652</v>
      </c>
      <c r="J40" s="176" t="b">
        <f>EXACT(G40,'Vh5205_C-82'!G40)</f>
        <v>1</v>
      </c>
    </row>
    <row r="41" spans="1:10" s="7" customFormat="1" x14ac:dyDescent="0.35">
      <c r="A41" s="90">
        <v>38</v>
      </c>
      <c r="B41" s="10" t="s">
        <v>690</v>
      </c>
      <c r="C41" s="10" t="s">
        <v>128</v>
      </c>
      <c r="D41" s="146"/>
      <c r="E41" s="10"/>
      <c r="F41" s="19" t="s">
        <v>26</v>
      </c>
      <c r="G41" s="195">
        <v>35458</v>
      </c>
      <c r="H41" s="177" t="s">
        <v>652</v>
      </c>
      <c r="J41" s="176" t="b">
        <f>EXACT(G41,'Vh5205_C-82'!G41)</f>
        <v>1</v>
      </c>
    </row>
    <row r="42" spans="1:10" s="7" customFormat="1" x14ac:dyDescent="0.35">
      <c r="A42" s="90">
        <v>39</v>
      </c>
      <c r="B42" s="10" t="s">
        <v>690</v>
      </c>
      <c r="C42" s="10" t="s">
        <v>129</v>
      </c>
      <c r="D42" s="146"/>
      <c r="E42" s="10"/>
      <c r="F42" s="19" t="s">
        <v>79</v>
      </c>
      <c r="G42" s="192"/>
      <c r="H42" s="177" t="s">
        <v>652</v>
      </c>
      <c r="J42" s="176" t="b">
        <f>EXACT(G42,'Vh5205_C-82'!G42)</f>
        <v>1</v>
      </c>
    </row>
    <row r="43" spans="1:10" s="7" customFormat="1" x14ac:dyDescent="0.35">
      <c r="A43" s="90">
        <v>40</v>
      </c>
      <c r="B43" s="13" t="s">
        <v>690</v>
      </c>
      <c r="C43" s="13" t="s">
        <v>130</v>
      </c>
      <c r="D43" s="87"/>
      <c r="E43" s="13"/>
      <c r="F43" s="22" t="s">
        <v>79</v>
      </c>
      <c r="G43" s="194"/>
      <c r="H43" s="180" t="s">
        <v>652</v>
      </c>
      <c r="J43" s="176" t="b">
        <f>EXACT(G43,'Vh5205_C-82'!G43)</f>
        <v>1</v>
      </c>
    </row>
    <row r="44" spans="1:10" x14ac:dyDescent="0.35">
      <c r="A44" s="90">
        <v>41</v>
      </c>
      <c r="B44" s="102" t="s">
        <v>691</v>
      </c>
      <c r="C44" s="102" t="s">
        <v>117</v>
      </c>
      <c r="D44" s="100"/>
      <c r="E44" s="100"/>
      <c r="F44" s="18" t="s">
        <v>26</v>
      </c>
      <c r="G44" s="161" t="s">
        <v>462</v>
      </c>
      <c r="H44" s="177" t="s">
        <v>652</v>
      </c>
      <c r="J44" s="176" t="b">
        <f>EXACT(G44,'Vh5205_C-82'!G44)</f>
        <v>1</v>
      </c>
    </row>
    <row r="45" spans="1:10" s="7" customFormat="1" x14ac:dyDescent="0.35">
      <c r="A45" s="90">
        <v>42</v>
      </c>
      <c r="B45" s="10" t="s">
        <v>691</v>
      </c>
      <c r="C45" s="10" t="s">
        <v>87</v>
      </c>
      <c r="D45" s="146"/>
      <c r="E45" s="10"/>
      <c r="F45" s="19" t="s">
        <v>79</v>
      </c>
      <c r="G45" s="192" t="s">
        <v>196</v>
      </c>
      <c r="H45" s="177" t="s">
        <v>652</v>
      </c>
      <c r="J45" s="176" t="b">
        <f>EXACT(G45,'Vh5205_C-82'!G45)</f>
        <v>1</v>
      </c>
    </row>
    <row r="46" spans="1:10" s="7" customFormat="1" x14ac:dyDescent="0.35">
      <c r="A46" s="90">
        <v>43</v>
      </c>
      <c r="B46" s="10" t="s">
        <v>691</v>
      </c>
      <c r="C46" s="10" t="s">
        <v>88</v>
      </c>
      <c r="D46" s="146"/>
      <c r="E46" s="10"/>
      <c r="F46" s="19" t="s">
        <v>79</v>
      </c>
      <c r="G46" s="192" t="s">
        <v>196</v>
      </c>
      <c r="H46" s="177" t="s">
        <v>652</v>
      </c>
      <c r="J46" s="176" t="b">
        <f>EXACT(G46,'Vh5205_C-82'!G46)</f>
        <v>1</v>
      </c>
    </row>
    <row r="47" spans="1:10" s="7" customFormat="1" x14ac:dyDescent="0.35">
      <c r="A47" s="90">
        <v>44</v>
      </c>
      <c r="B47" s="10" t="s">
        <v>691</v>
      </c>
      <c r="C47" s="10" t="s">
        <v>60</v>
      </c>
      <c r="D47" s="146"/>
      <c r="E47" s="10"/>
      <c r="F47" s="19" t="s">
        <v>79</v>
      </c>
      <c r="G47" s="192" t="s">
        <v>500</v>
      </c>
      <c r="H47" s="177" t="s">
        <v>652</v>
      </c>
      <c r="J47" s="176" t="b">
        <f>EXACT(G47,'Vh5205_C-82'!G47)</f>
        <v>1</v>
      </c>
    </row>
    <row r="48" spans="1:10" x14ac:dyDescent="0.35">
      <c r="A48" s="90">
        <v>45</v>
      </c>
      <c r="B48" s="10" t="s">
        <v>691</v>
      </c>
      <c r="C48" s="10" t="s">
        <v>90</v>
      </c>
      <c r="D48" s="146"/>
      <c r="E48" s="146"/>
      <c r="F48" s="19" t="s">
        <v>26</v>
      </c>
      <c r="G48" s="161" t="s">
        <v>649</v>
      </c>
      <c r="H48" s="177" t="s">
        <v>652</v>
      </c>
      <c r="J48" s="176" t="b">
        <f>EXACT(G48,'Vh5205_C-82'!G48)</f>
        <v>1</v>
      </c>
    </row>
    <row r="49" spans="1:10" x14ac:dyDescent="0.35">
      <c r="A49" s="90">
        <v>46</v>
      </c>
      <c r="B49" s="10" t="s">
        <v>691</v>
      </c>
      <c r="C49" s="10" t="s">
        <v>91</v>
      </c>
      <c r="D49" s="146"/>
      <c r="E49" s="146"/>
      <c r="F49" s="19" t="s">
        <v>26</v>
      </c>
      <c r="G49" s="161" t="s">
        <v>649</v>
      </c>
      <c r="H49" s="177" t="s">
        <v>652</v>
      </c>
      <c r="J49" s="176" t="b">
        <f>EXACT(G49,'Vh5205_C-82'!G49)</f>
        <v>1</v>
      </c>
    </row>
    <row r="50" spans="1:10" x14ac:dyDescent="0.35">
      <c r="A50" s="90">
        <v>47</v>
      </c>
      <c r="B50" s="13" t="s">
        <v>691</v>
      </c>
      <c r="C50" s="13" t="s">
        <v>86</v>
      </c>
      <c r="D50" s="87"/>
      <c r="E50" s="87"/>
      <c r="F50" s="22" t="s">
        <v>79</v>
      </c>
      <c r="G50" s="194"/>
      <c r="H50" s="180"/>
      <c r="J50" s="1" t="b">
        <f>EXACT(G50,'Vh5205_C-82'!G50)</f>
        <v>1</v>
      </c>
    </row>
    <row r="51" spans="1:10" s="7" customFormat="1" x14ac:dyDescent="0.35">
      <c r="A51" s="90">
        <v>48</v>
      </c>
      <c r="B51" s="10" t="s">
        <v>692</v>
      </c>
      <c r="C51" s="10" t="s">
        <v>95</v>
      </c>
      <c r="D51" s="146"/>
      <c r="E51" s="10" t="s">
        <v>92</v>
      </c>
      <c r="F51" s="19" t="s">
        <v>26</v>
      </c>
      <c r="G51" s="161" t="s">
        <v>680</v>
      </c>
      <c r="H51" s="177" t="s">
        <v>652</v>
      </c>
      <c r="J51" s="176" t="b">
        <f>EXACT(G51,'Vh5205_C-82'!G51)</f>
        <v>1</v>
      </c>
    </row>
    <row r="52" spans="1:10" s="7" customFormat="1" x14ac:dyDescent="0.35">
      <c r="A52" s="90">
        <v>49</v>
      </c>
      <c r="B52" s="10" t="s">
        <v>692</v>
      </c>
      <c r="C52" s="10" t="s">
        <v>96</v>
      </c>
      <c r="D52" s="146"/>
      <c r="E52" s="10" t="s">
        <v>92</v>
      </c>
      <c r="F52" s="19" t="s">
        <v>26</v>
      </c>
      <c r="G52" s="161" t="s">
        <v>681</v>
      </c>
      <c r="H52" s="177" t="s">
        <v>652</v>
      </c>
      <c r="J52" s="176" t="b">
        <f>EXACT(G52,'Vh5205_C-82'!G52)</f>
        <v>1</v>
      </c>
    </row>
    <row r="53" spans="1:10" s="7" customFormat="1" x14ac:dyDescent="0.35">
      <c r="A53" s="90">
        <v>50</v>
      </c>
      <c r="B53" s="10" t="s">
        <v>692</v>
      </c>
      <c r="C53" s="10" t="s">
        <v>149</v>
      </c>
      <c r="D53" s="146"/>
      <c r="E53" s="10"/>
      <c r="F53" s="19" t="s">
        <v>26</v>
      </c>
      <c r="G53" s="161" t="s">
        <v>681</v>
      </c>
      <c r="H53" s="177" t="s">
        <v>652</v>
      </c>
      <c r="J53" s="176" t="b">
        <f>EXACT(G53,'Vh5205_C-82'!G53)</f>
        <v>1</v>
      </c>
    </row>
    <row r="54" spans="1:10" s="7" customFormat="1" x14ac:dyDescent="0.35">
      <c r="A54" s="90">
        <v>51</v>
      </c>
      <c r="B54" s="10" t="s">
        <v>692</v>
      </c>
      <c r="C54" s="10" t="s">
        <v>148</v>
      </c>
      <c r="D54" s="10"/>
      <c r="E54" s="10"/>
      <c r="F54" s="19" t="s">
        <v>79</v>
      </c>
      <c r="G54" s="161" t="s">
        <v>467</v>
      </c>
      <c r="H54" s="177" t="s">
        <v>652</v>
      </c>
      <c r="J54" s="176" t="b">
        <f>EXACT(G54,'Vh5205_C-82'!G54)</f>
        <v>1</v>
      </c>
    </row>
    <row r="55" spans="1:10" s="7" customFormat="1" x14ac:dyDescent="0.35">
      <c r="A55" s="90">
        <v>52</v>
      </c>
      <c r="B55" s="10" t="s">
        <v>692</v>
      </c>
      <c r="C55" s="10" t="s">
        <v>100</v>
      </c>
      <c r="D55" s="146"/>
      <c r="E55" s="10"/>
      <c r="F55" s="19" t="s">
        <v>79</v>
      </c>
      <c r="G55" s="192"/>
      <c r="H55" s="177"/>
      <c r="J55" s="1" t="b">
        <f>EXACT(G55,'Vh5205_C-82'!G55)</f>
        <v>1</v>
      </c>
    </row>
    <row r="56" spans="1:10" s="7" customFormat="1" x14ac:dyDescent="0.35">
      <c r="A56" s="90">
        <v>53</v>
      </c>
      <c r="B56" s="13" t="s">
        <v>692</v>
      </c>
      <c r="C56" s="13" t="s">
        <v>101</v>
      </c>
      <c r="D56" s="87"/>
      <c r="E56" s="13"/>
      <c r="F56" s="22" t="s">
        <v>79</v>
      </c>
      <c r="G56" s="194"/>
      <c r="H56" s="180"/>
      <c r="J56" s="1" t="b">
        <f>EXACT(G56,'Vh5205_C-82'!G56)</f>
        <v>1</v>
      </c>
    </row>
    <row r="57" spans="1:10" s="7" customFormat="1" x14ac:dyDescent="0.35">
      <c r="A57" s="90">
        <v>54</v>
      </c>
      <c r="B57" s="102" t="s">
        <v>693</v>
      </c>
      <c r="C57" s="102" t="s">
        <v>93</v>
      </c>
      <c r="D57" s="146"/>
      <c r="E57" s="10"/>
      <c r="F57" s="19" t="s">
        <v>26</v>
      </c>
      <c r="G57" s="161" t="s">
        <v>483</v>
      </c>
      <c r="H57" s="177" t="s">
        <v>652</v>
      </c>
      <c r="J57" s="176" t="b">
        <f>EXACT(G57,'Vh5205_C-82'!G57)</f>
        <v>1</v>
      </c>
    </row>
    <row r="58" spans="1:10" s="7" customFormat="1" x14ac:dyDescent="0.35">
      <c r="A58" s="90">
        <v>55</v>
      </c>
      <c r="B58" s="10" t="s">
        <v>693</v>
      </c>
      <c r="C58" s="10" t="s">
        <v>104</v>
      </c>
      <c r="D58" s="146"/>
      <c r="E58" s="10" t="s">
        <v>51</v>
      </c>
      <c r="F58" s="19" t="s">
        <v>26</v>
      </c>
      <c r="G58" s="161" t="s">
        <v>524</v>
      </c>
      <c r="H58" s="177" t="s">
        <v>652</v>
      </c>
      <c r="J58" s="176" t="b">
        <f>EXACT(G58,'Vh5205_C-82'!G58)</f>
        <v>1</v>
      </c>
    </row>
    <row r="59" spans="1:10" s="7" customFormat="1" x14ac:dyDescent="0.35">
      <c r="A59" s="90">
        <v>56</v>
      </c>
      <c r="B59" s="104" t="s">
        <v>693</v>
      </c>
      <c r="C59" s="104" t="s">
        <v>418</v>
      </c>
      <c r="D59" s="104"/>
      <c r="E59" s="104"/>
      <c r="F59" s="19" t="s">
        <v>26</v>
      </c>
      <c r="G59" s="161" t="s">
        <v>524</v>
      </c>
      <c r="H59" s="177" t="s">
        <v>652</v>
      </c>
      <c r="J59" s="176" t="b">
        <f>EXACT(G59,'Vh5205_C-82'!G59)</f>
        <v>1</v>
      </c>
    </row>
    <row r="60" spans="1:10" s="7" customFormat="1" x14ac:dyDescent="0.35">
      <c r="A60" s="90">
        <v>57</v>
      </c>
      <c r="B60" s="10" t="s">
        <v>693</v>
      </c>
      <c r="C60" s="10" t="s">
        <v>103</v>
      </c>
      <c r="D60" s="146"/>
      <c r="E60" s="10"/>
      <c r="F60" s="19" t="s">
        <v>79</v>
      </c>
      <c r="G60" s="161" t="s">
        <v>524</v>
      </c>
      <c r="H60" s="177" t="s">
        <v>652</v>
      </c>
      <c r="J60" s="176" t="b">
        <f>EXACT(G60,'Vh5205_C-82'!G60)</f>
        <v>1</v>
      </c>
    </row>
    <row r="61" spans="1:10" s="7" customFormat="1" x14ac:dyDescent="0.35">
      <c r="A61" s="90">
        <v>58</v>
      </c>
      <c r="B61" s="10" t="s">
        <v>693</v>
      </c>
      <c r="C61" s="10" t="s">
        <v>125</v>
      </c>
      <c r="D61" s="146"/>
      <c r="E61" s="10" t="s">
        <v>1</v>
      </c>
      <c r="F61" s="19" t="s">
        <v>79</v>
      </c>
      <c r="G61" s="161"/>
      <c r="H61" s="177"/>
      <c r="J61" s="2" t="b">
        <f>EXACT(G61,'Vh5205_C-82'!G61)</f>
        <v>1</v>
      </c>
    </row>
    <row r="62" spans="1:10" s="7" customFormat="1" x14ac:dyDescent="0.35">
      <c r="A62" s="90">
        <v>59</v>
      </c>
      <c r="B62" s="10" t="s">
        <v>693</v>
      </c>
      <c r="C62" s="10" t="s">
        <v>62</v>
      </c>
      <c r="D62" s="146"/>
      <c r="E62" s="10" t="s">
        <v>51</v>
      </c>
      <c r="F62" s="19" t="s">
        <v>79</v>
      </c>
      <c r="G62" s="161"/>
      <c r="H62" s="177"/>
      <c r="J62" s="1" t="b">
        <f>EXACT(G62,'Vh5205_C-82'!G62)</f>
        <v>1</v>
      </c>
    </row>
    <row r="63" spans="1:10" s="7" customFormat="1" x14ac:dyDescent="0.35">
      <c r="A63" s="90">
        <v>60</v>
      </c>
      <c r="B63" s="10" t="s">
        <v>693</v>
      </c>
      <c r="C63" s="10" t="s">
        <v>63</v>
      </c>
      <c r="D63" s="146"/>
      <c r="E63" s="10" t="s">
        <v>51</v>
      </c>
      <c r="F63" s="19" t="s">
        <v>79</v>
      </c>
      <c r="G63" s="161"/>
      <c r="H63" s="177"/>
      <c r="J63" s="1" t="b">
        <f>EXACT(G63,'Vh5205_C-82'!G63)</f>
        <v>1</v>
      </c>
    </row>
    <row r="64" spans="1:10" s="7" customFormat="1" x14ac:dyDescent="0.35">
      <c r="A64" s="90">
        <v>61</v>
      </c>
      <c r="B64" s="10" t="s">
        <v>693</v>
      </c>
      <c r="C64" s="10" t="s">
        <v>126</v>
      </c>
      <c r="D64" s="146"/>
      <c r="E64" s="10"/>
      <c r="F64" s="19" t="s">
        <v>79</v>
      </c>
      <c r="G64" s="161"/>
      <c r="H64" s="177"/>
      <c r="J64" s="1" t="b">
        <f>EXACT(G64,'Vh5205_C-82'!G64)</f>
        <v>1</v>
      </c>
    </row>
    <row r="65" spans="1:10" s="7" customFormat="1" x14ac:dyDescent="0.35">
      <c r="A65" s="90">
        <v>62</v>
      </c>
      <c r="B65" s="10" t="s">
        <v>693</v>
      </c>
      <c r="C65" s="10" t="s">
        <v>52</v>
      </c>
      <c r="D65" s="146"/>
      <c r="E65" s="10"/>
      <c r="F65" s="19" t="s">
        <v>79</v>
      </c>
      <c r="G65" s="161"/>
      <c r="H65" s="177"/>
      <c r="J65" s="1" t="b">
        <f>EXACT(G65,'Vh5205_C-82'!G65)</f>
        <v>1</v>
      </c>
    </row>
    <row r="66" spans="1:10" s="7" customFormat="1" x14ac:dyDescent="0.35">
      <c r="A66" s="90">
        <v>63</v>
      </c>
      <c r="B66" s="10" t="s">
        <v>693</v>
      </c>
      <c r="C66" s="10" t="s">
        <v>189</v>
      </c>
      <c r="D66" s="146"/>
      <c r="E66" s="10"/>
      <c r="F66" s="19" t="s">
        <v>79</v>
      </c>
      <c r="G66" s="161" t="s">
        <v>682</v>
      </c>
      <c r="H66" s="177" t="s">
        <v>652</v>
      </c>
      <c r="J66" s="176" t="b">
        <f>EXACT(G66,'Vh5205_C-82'!G66)</f>
        <v>1</v>
      </c>
    </row>
    <row r="67" spans="1:10" s="7" customFormat="1" x14ac:dyDescent="0.35">
      <c r="A67" s="90">
        <v>64</v>
      </c>
      <c r="B67" s="10" t="s">
        <v>693</v>
      </c>
      <c r="C67" s="10" t="s">
        <v>190</v>
      </c>
      <c r="D67" s="146"/>
      <c r="E67" s="10"/>
      <c r="F67" s="19" t="s">
        <v>79</v>
      </c>
      <c r="G67" s="192"/>
      <c r="H67" s="177"/>
      <c r="J67" s="1" t="b">
        <f>EXACT(G67,'Vh5205_C-82'!G67)</f>
        <v>1</v>
      </c>
    </row>
    <row r="68" spans="1:10" s="7" customFormat="1" x14ac:dyDescent="0.35">
      <c r="A68" s="90">
        <v>65</v>
      </c>
      <c r="B68" s="10" t="s">
        <v>693</v>
      </c>
      <c r="C68" s="10" t="s">
        <v>382</v>
      </c>
      <c r="D68" s="146"/>
      <c r="E68" s="10"/>
      <c r="F68" s="19" t="s">
        <v>79</v>
      </c>
      <c r="G68" s="161" t="s">
        <v>620</v>
      </c>
      <c r="H68" s="177" t="s">
        <v>652</v>
      </c>
      <c r="J68" s="176" t="b">
        <f>EXACT(G68,'Vh5205_C-82'!G68)</f>
        <v>1</v>
      </c>
    </row>
    <row r="69" spans="1:10" s="7" customFormat="1" ht="31" x14ac:dyDescent="0.35">
      <c r="A69" s="90">
        <v>66</v>
      </c>
      <c r="B69" s="10" t="s">
        <v>693</v>
      </c>
      <c r="C69" s="10" t="s">
        <v>419</v>
      </c>
      <c r="D69" s="146"/>
      <c r="E69" s="10" t="s">
        <v>480</v>
      </c>
      <c r="F69" s="19" t="s">
        <v>26</v>
      </c>
      <c r="G69" s="161" t="s">
        <v>650</v>
      </c>
      <c r="H69" s="177" t="s">
        <v>652</v>
      </c>
      <c r="J69" s="176" t="b">
        <f>EXACT(G69,'Vh5205_C-82'!G69)</f>
        <v>1</v>
      </c>
    </row>
    <row r="70" spans="1:10" s="7" customFormat="1" ht="31" x14ac:dyDescent="0.35">
      <c r="A70" s="90">
        <v>67</v>
      </c>
      <c r="B70" s="104" t="s">
        <v>693</v>
      </c>
      <c r="C70" s="104" t="s">
        <v>420</v>
      </c>
      <c r="D70" s="104"/>
      <c r="E70" s="104"/>
      <c r="F70" s="19" t="s">
        <v>26</v>
      </c>
      <c r="G70" s="161" t="s">
        <v>717</v>
      </c>
      <c r="H70" s="177" t="s">
        <v>652</v>
      </c>
      <c r="J70" s="176" t="b">
        <f>EXACT(G70,'Vh5205_C-82'!G70)</f>
        <v>1</v>
      </c>
    </row>
    <row r="71" spans="1:10" s="7" customFormat="1" x14ac:dyDescent="0.35">
      <c r="A71" s="90">
        <v>68</v>
      </c>
      <c r="B71" s="104" t="s">
        <v>693</v>
      </c>
      <c r="C71" s="104" t="s">
        <v>421</v>
      </c>
      <c r="D71" s="107"/>
      <c r="E71" s="107"/>
      <c r="F71" s="22" t="s">
        <v>79</v>
      </c>
      <c r="G71" s="196"/>
      <c r="H71" s="180"/>
      <c r="J71" s="1" t="b">
        <f>EXACT(G71,'Vh5205_C-82'!G71)</f>
        <v>1</v>
      </c>
    </row>
    <row r="72" spans="1:10" s="7" customFormat="1" x14ac:dyDescent="0.35">
      <c r="A72" s="90">
        <v>69</v>
      </c>
      <c r="B72" s="102" t="s">
        <v>694</v>
      </c>
      <c r="C72" s="102" t="s">
        <v>422</v>
      </c>
      <c r="D72" s="10"/>
      <c r="E72" s="10"/>
      <c r="F72" s="19" t="s">
        <v>79</v>
      </c>
      <c r="G72" s="161"/>
      <c r="H72" s="177"/>
      <c r="J72" s="1" t="b">
        <f>EXACT(G72,'Vh5205_C-82'!G72)</f>
        <v>1</v>
      </c>
    </row>
    <row r="73" spans="1:10" s="7" customFormat="1" x14ac:dyDescent="0.35">
      <c r="A73" s="90">
        <v>70</v>
      </c>
      <c r="B73" s="13" t="s">
        <v>694</v>
      </c>
      <c r="C73" s="13" t="s">
        <v>102</v>
      </c>
      <c r="D73" s="87"/>
      <c r="E73" s="13"/>
      <c r="F73" s="22" t="s">
        <v>79</v>
      </c>
      <c r="G73" s="196"/>
      <c r="H73" s="180"/>
      <c r="J73" s="1" t="b">
        <f>EXACT(G73,'Vh5205_C-82'!G73)</f>
        <v>1</v>
      </c>
    </row>
    <row r="74" spans="1:10" s="7" customFormat="1" x14ac:dyDescent="0.35">
      <c r="A74" s="90">
        <v>71</v>
      </c>
      <c r="B74" s="10" t="s">
        <v>695</v>
      </c>
      <c r="C74" s="10" t="s">
        <v>127</v>
      </c>
      <c r="D74" s="146"/>
      <c r="E74" s="10" t="s">
        <v>4</v>
      </c>
      <c r="F74" s="19" t="s">
        <v>79</v>
      </c>
      <c r="G74" s="161"/>
      <c r="H74" s="177"/>
      <c r="J74" s="1" t="b">
        <f>EXACT(G74,'Vh5205_C-82'!G74)</f>
        <v>1</v>
      </c>
    </row>
    <row r="75" spans="1:10" s="7" customFormat="1" x14ac:dyDescent="0.35">
      <c r="A75" s="90">
        <v>72</v>
      </c>
      <c r="B75" s="10" t="s">
        <v>695</v>
      </c>
      <c r="C75" s="10" t="s">
        <v>298</v>
      </c>
      <c r="D75" s="146"/>
      <c r="E75" s="10" t="s">
        <v>4</v>
      </c>
      <c r="F75" s="19" t="s">
        <v>79</v>
      </c>
      <c r="G75" s="192" t="s">
        <v>655</v>
      </c>
      <c r="H75" s="177" t="s">
        <v>652</v>
      </c>
      <c r="J75" s="176" t="b">
        <f>EXACT(G75,'Vh5205_C-82'!G75)</f>
        <v>1</v>
      </c>
    </row>
    <row r="76" spans="1:10" s="7" customFormat="1" x14ac:dyDescent="0.35">
      <c r="A76" s="90">
        <v>73</v>
      </c>
      <c r="B76" s="10" t="s">
        <v>695</v>
      </c>
      <c r="C76" s="10" t="s">
        <v>115</v>
      </c>
      <c r="D76" s="146"/>
      <c r="E76" s="10"/>
      <c r="F76" s="22" t="s">
        <v>79</v>
      </c>
      <c r="G76" s="196"/>
      <c r="H76" s="180"/>
      <c r="J76" s="1" t="b">
        <f>EXACT(G76,'Vh5205_C-82'!G76)</f>
        <v>1</v>
      </c>
    </row>
    <row r="77" spans="1:10" x14ac:dyDescent="0.35">
      <c r="A77" s="90">
        <v>74</v>
      </c>
      <c r="B77" s="100" t="s">
        <v>696</v>
      </c>
      <c r="C77" s="100" t="s">
        <v>43</v>
      </c>
      <c r="D77" s="100"/>
      <c r="E77" s="100"/>
      <c r="F77" s="19" t="s">
        <v>79</v>
      </c>
      <c r="G77" s="161" t="s">
        <v>512</v>
      </c>
      <c r="H77" s="140"/>
      <c r="J77" s="1" t="b">
        <f>EXACT(G77,'Vh5205_C-82'!G77)</f>
        <v>0</v>
      </c>
    </row>
    <row r="78" spans="1:10" x14ac:dyDescent="0.35">
      <c r="A78" s="90">
        <v>75</v>
      </c>
      <c r="B78" s="146" t="s">
        <v>696</v>
      </c>
      <c r="C78" s="146" t="s">
        <v>114</v>
      </c>
      <c r="D78" s="146"/>
      <c r="E78" s="146"/>
      <c r="F78" s="19" t="s">
        <v>79</v>
      </c>
      <c r="G78" s="161"/>
      <c r="H78" s="140"/>
      <c r="J78" s="1" t="b">
        <f>EXACT(G78,'Vh5205_C-82'!G78)</f>
        <v>1</v>
      </c>
    </row>
    <row r="79" spans="1:10" x14ac:dyDescent="0.35">
      <c r="A79" s="90">
        <v>76</v>
      </c>
      <c r="B79" s="10" t="s">
        <v>696</v>
      </c>
      <c r="C79" s="10" t="s">
        <v>338</v>
      </c>
      <c r="D79" s="146"/>
      <c r="E79" s="146"/>
      <c r="F79" s="19" t="s">
        <v>79</v>
      </c>
      <c r="G79" s="192" t="s">
        <v>615</v>
      </c>
      <c r="H79" s="140" t="s">
        <v>652</v>
      </c>
      <c r="J79" s="176" t="b">
        <f>EXACT(G79,'Vh5205_C-82'!G79)</f>
        <v>1</v>
      </c>
    </row>
    <row r="80" spans="1:10" x14ac:dyDescent="0.35">
      <c r="A80" s="90">
        <v>77</v>
      </c>
      <c r="B80" s="10" t="s">
        <v>696</v>
      </c>
      <c r="C80" s="10" t="s">
        <v>150</v>
      </c>
      <c r="D80" s="146"/>
      <c r="E80" s="146"/>
      <c r="F80" s="19" t="s">
        <v>26</v>
      </c>
      <c r="G80" s="192" t="s">
        <v>612</v>
      </c>
      <c r="H80" s="140" t="s">
        <v>652</v>
      </c>
      <c r="J80" s="176" t="b">
        <f>EXACT(G80,'Vh5205_C-82'!G80)</f>
        <v>1</v>
      </c>
    </row>
    <row r="81" spans="1:10" x14ac:dyDescent="0.35">
      <c r="A81" s="90">
        <v>78</v>
      </c>
      <c r="B81" s="10" t="s">
        <v>696</v>
      </c>
      <c r="C81" s="10" t="s">
        <v>152</v>
      </c>
      <c r="D81" s="146"/>
      <c r="E81" s="146"/>
      <c r="F81" s="19" t="s">
        <v>26</v>
      </c>
      <c r="G81" s="192" t="s">
        <v>267</v>
      </c>
      <c r="H81" s="140" t="s">
        <v>652</v>
      </c>
      <c r="J81" s="176" t="b">
        <f>EXACT(G81,'Vh5205_C-82'!G81)</f>
        <v>1</v>
      </c>
    </row>
    <row r="82" spans="1:10" x14ac:dyDescent="0.35">
      <c r="A82" s="90">
        <v>79</v>
      </c>
      <c r="B82" s="10" t="s">
        <v>696</v>
      </c>
      <c r="C82" s="10" t="s">
        <v>153</v>
      </c>
      <c r="D82" s="146"/>
      <c r="E82" s="146"/>
      <c r="F82" s="19" t="s">
        <v>26</v>
      </c>
      <c r="G82" s="192" t="s">
        <v>268</v>
      </c>
      <c r="H82" s="140" t="s">
        <v>652</v>
      </c>
      <c r="J82" s="176" t="b">
        <f>EXACT(G82,'Vh5205_C-82'!G82)</f>
        <v>1</v>
      </c>
    </row>
    <row r="83" spans="1:10" ht="31" x14ac:dyDescent="0.35">
      <c r="A83" s="90">
        <v>80</v>
      </c>
      <c r="B83" s="10" t="s">
        <v>696</v>
      </c>
      <c r="C83" s="10" t="s">
        <v>9</v>
      </c>
      <c r="D83" s="146"/>
      <c r="E83" s="146"/>
      <c r="F83" s="19" t="s">
        <v>26</v>
      </c>
      <c r="G83" s="161" t="s">
        <v>715</v>
      </c>
      <c r="H83" s="140" t="s">
        <v>652</v>
      </c>
      <c r="J83" s="176" t="b">
        <f>EXACT(G83,'Vh5205_C-82'!G83)</f>
        <v>1</v>
      </c>
    </row>
    <row r="84" spans="1:10" x14ac:dyDescent="0.35">
      <c r="A84" s="90">
        <v>81</v>
      </c>
      <c r="B84" s="10" t="s">
        <v>696</v>
      </c>
      <c r="C84" s="10" t="s">
        <v>339</v>
      </c>
      <c r="D84" s="146"/>
      <c r="E84" s="146"/>
      <c r="F84" s="19" t="s">
        <v>26</v>
      </c>
      <c r="G84" s="161" t="s">
        <v>718</v>
      </c>
      <c r="H84" s="140" t="s">
        <v>652</v>
      </c>
      <c r="J84" s="176" t="b">
        <f>EXACT(G84,'Vh5205_C-82'!G84)</f>
        <v>1</v>
      </c>
    </row>
    <row r="85" spans="1:10" ht="31" x14ac:dyDescent="0.35">
      <c r="A85" s="90">
        <v>82</v>
      </c>
      <c r="B85" s="10" t="s">
        <v>696</v>
      </c>
      <c r="C85" s="10" t="s">
        <v>573</v>
      </c>
      <c r="D85" s="146"/>
      <c r="E85" s="146"/>
      <c r="F85" s="19" t="s">
        <v>26</v>
      </c>
      <c r="G85" s="161" t="s">
        <v>537</v>
      </c>
      <c r="H85" s="140" t="s">
        <v>652</v>
      </c>
      <c r="J85" s="176" t="b">
        <f>EXACT(G85,'Vh5205_C-82'!G85)</f>
        <v>1</v>
      </c>
    </row>
    <row r="86" spans="1:10" s="7" customFormat="1" ht="46.5" x14ac:dyDescent="0.35">
      <c r="A86" s="90">
        <v>83</v>
      </c>
      <c r="B86" s="13" t="s">
        <v>696</v>
      </c>
      <c r="C86" s="13" t="s">
        <v>133</v>
      </c>
      <c r="D86" s="87"/>
      <c r="E86" s="87" t="s">
        <v>51</v>
      </c>
      <c r="F86" s="22" t="s">
        <v>79</v>
      </c>
      <c r="G86" s="196" t="s">
        <v>651</v>
      </c>
      <c r="H86" s="182" t="s">
        <v>652</v>
      </c>
      <c r="J86" s="176" t="b">
        <f>EXACT(G86,'Vh5205_C-82'!G86)</f>
        <v>1</v>
      </c>
    </row>
    <row r="87" spans="1:10" x14ac:dyDescent="0.35">
      <c r="A87" s="90">
        <v>84</v>
      </c>
      <c r="B87" s="146" t="s">
        <v>697</v>
      </c>
      <c r="C87" s="146" t="s">
        <v>299</v>
      </c>
      <c r="D87" s="94"/>
      <c r="E87" s="146"/>
      <c r="F87" s="19" t="s">
        <v>79</v>
      </c>
      <c r="G87" s="204" t="s">
        <v>502</v>
      </c>
      <c r="H87" s="140" t="s">
        <v>652</v>
      </c>
      <c r="J87" s="176" t="b">
        <f>EXACT(G87,'Vh5205_C-82'!G87)</f>
        <v>1</v>
      </c>
    </row>
    <row r="88" spans="1:10" x14ac:dyDescent="0.35">
      <c r="A88" s="90">
        <v>85</v>
      </c>
      <c r="B88" s="10" t="s">
        <v>697</v>
      </c>
      <c r="C88" s="10" t="s">
        <v>300</v>
      </c>
      <c r="D88" s="94"/>
      <c r="E88" s="146"/>
      <c r="F88" s="19" t="s">
        <v>79</v>
      </c>
      <c r="G88" s="192" t="s">
        <v>617</v>
      </c>
      <c r="H88" s="140" t="s">
        <v>652</v>
      </c>
      <c r="J88" s="176" t="b">
        <f>EXACT(G88,'Vh5205_C-82'!G88)</f>
        <v>1</v>
      </c>
    </row>
    <row r="89" spans="1:10" x14ac:dyDescent="0.35">
      <c r="A89" s="90">
        <v>86</v>
      </c>
      <c r="B89" s="10" t="s">
        <v>697</v>
      </c>
      <c r="C89" s="10" t="s">
        <v>156</v>
      </c>
      <c r="D89" s="146"/>
      <c r="E89" s="146" t="s">
        <v>0</v>
      </c>
      <c r="F89" s="19" t="s">
        <v>79</v>
      </c>
      <c r="G89" s="192">
        <v>1</v>
      </c>
      <c r="H89" s="140" t="s">
        <v>652</v>
      </c>
      <c r="J89" s="176" t="b">
        <f>EXACT(G89,'Vh5205_C-82'!G89)</f>
        <v>1</v>
      </c>
    </row>
    <row r="90" spans="1:10" x14ac:dyDescent="0.35">
      <c r="A90" s="90">
        <v>87</v>
      </c>
      <c r="B90" s="10" t="s">
        <v>697</v>
      </c>
      <c r="C90" s="10" t="s">
        <v>132</v>
      </c>
      <c r="D90" s="146"/>
      <c r="E90" s="146" t="s">
        <v>0</v>
      </c>
      <c r="F90" s="19" t="s">
        <v>79</v>
      </c>
      <c r="G90" s="192">
        <v>20</v>
      </c>
      <c r="H90" s="140" t="s">
        <v>652</v>
      </c>
      <c r="J90" s="176" t="b">
        <f>EXACT(G90,'Vh5205_C-82'!G90)</f>
        <v>1</v>
      </c>
    </row>
    <row r="91" spans="1:10" s="7" customFormat="1" x14ac:dyDescent="0.35">
      <c r="A91" s="90">
        <v>88</v>
      </c>
      <c r="B91" s="10" t="s">
        <v>697</v>
      </c>
      <c r="C91" s="10" t="s">
        <v>343</v>
      </c>
      <c r="D91" s="146"/>
      <c r="E91" s="146"/>
      <c r="F91" s="20" t="s">
        <v>26</v>
      </c>
      <c r="G91" s="161" t="s">
        <v>625</v>
      </c>
      <c r="H91" s="140" t="s">
        <v>652</v>
      </c>
      <c r="J91" s="176" t="b">
        <f>EXACT(G91,'Vh5205_C-82'!G91)</f>
        <v>1</v>
      </c>
    </row>
    <row r="92" spans="1:10" s="7" customFormat="1" ht="31" x14ac:dyDescent="0.35">
      <c r="A92" s="90">
        <v>89</v>
      </c>
      <c r="B92" s="10" t="s">
        <v>697</v>
      </c>
      <c r="C92" s="10" t="s">
        <v>425</v>
      </c>
      <c r="D92" s="146"/>
      <c r="E92" s="146"/>
      <c r="F92" s="20" t="s">
        <v>26</v>
      </c>
      <c r="G92" s="161" t="s">
        <v>621</v>
      </c>
      <c r="H92" s="140" t="s">
        <v>652</v>
      </c>
      <c r="J92" s="176" t="b">
        <f>EXACT(G92,'Vh5205_C-82'!G92)</f>
        <v>1</v>
      </c>
    </row>
    <row r="93" spans="1:10" ht="31" x14ac:dyDescent="0.35">
      <c r="A93" s="90">
        <v>90</v>
      </c>
      <c r="B93" s="87" t="s">
        <v>697</v>
      </c>
      <c r="C93" s="87" t="s">
        <v>157</v>
      </c>
      <c r="D93" s="87"/>
      <c r="E93" s="87"/>
      <c r="F93" s="21" t="s">
        <v>26</v>
      </c>
      <c r="G93" s="196" t="s">
        <v>719</v>
      </c>
      <c r="H93" s="182" t="s">
        <v>652</v>
      </c>
      <c r="J93" s="176" t="b">
        <f>EXACT(G93,'Vh5205_C-82'!G93)</f>
        <v>1</v>
      </c>
    </row>
    <row r="94" spans="1:10" s="7" customFormat="1" x14ac:dyDescent="0.35">
      <c r="A94" s="90">
        <v>91</v>
      </c>
      <c r="B94" s="10" t="s">
        <v>698</v>
      </c>
      <c r="C94" s="10" t="s">
        <v>159</v>
      </c>
      <c r="D94" s="146"/>
      <c r="E94" s="146"/>
      <c r="F94" s="19" t="s">
        <v>79</v>
      </c>
      <c r="G94" s="197" t="s">
        <v>385</v>
      </c>
      <c r="H94" s="140" t="s">
        <v>652</v>
      </c>
      <c r="J94" s="176" t="b">
        <f>EXACT(G94,'Vh5205_C-82'!G94)</f>
        <v>1</v>
      </c>
    </row>
    <row r="95" spans="1:10" s="7" customFormat="1" x14ac:dyDescent="0.35">
      <c r="A95" s="90">
        <v>92</v>
      </c>
      <c r="B95" s="146" t="s">
        <v>698</v>
      </c>
      <c r="C95" s="146" t="s">
        <v>426</v>
      </c>
      <c r="D95" s="146"/>
      <c r="E95" s="146"/>
      <c r="F95" s="19" t="s">
        <v>79</v>
      </c>
      <c r="G95" s="205" t="s">
        <v>391</v>
      </c>
      <c r="H95" s="140" t="s">
        <v>652</v>
      </c>
      <c r="J95" s="176" t="b">
        <f>EXACT(G95,'Vh5205_C-82'!G95)</f>
        <v>1</v>
      </c>
    </row>
    <row r="96" spans="1:10" s="7" customFormat="1" x14ac:dyDescent="0.35">
      <c r="A96" s="90">
        <v>93</v>
      </c>
      <c r="B96" s="146" t="s">
        <v>698</v>
      </c>
      <c r="C96" s="146" t="s">
        <v>386</v>
      </c>
      <c r="D96" s="146"/>
      <c r="E96" s="146"/>
      <c r="F96" s="19" t="s">
        <v>26</v>
      </c>
      <c r="G96" s="198" t="s">
        <v>387</v>
      </c>
      <c r="H96" s="140" t="s">
        <v>652</v>
      </c>
      <c r="J96" s="176" t="b">
        <f>EXACT(G96,'Vh5205_C-82'!G96)</f>
        <v>1</v>
      </c>
    </row>
    <row r="97" spans="1:10" s="7" customFormat="1" x14ac:dyDescent="0.35">
      <c r="A97" s="90">
        <v>94</v>
      </c>
      <c r="B97" s="146" t="s">
        <v>698</v>
      </c>
      <c r="C97" s="146" t="s">
        <v>105</v>
      </c>
      <c r="D97" s="146"/>
      <c r="E97" s="146"/>
      <c r="F97" s="19" t="s">
        <v>26</v>
      </c>
      <c r="G97" s="161" t="s">
        <v>656</v>
      </c>
      <c r="H97" s="140" t="s">
        <v>652</v>
      </c>
      <c r="J97" s="176" t="b">
        <f>EXACT(G97,'Vh5205_C-82'!G97)</f>
        <v>1</v>
      </c>
    </row>
    <row r="98" spans="1:10" s="7" customFormat="1" x14ac:dyDescent="0.35">
      <c r="A98" s="90">
        <v>95</v>
      </c>
      <c r="B98" s="87" t="s">
        <v>698</v>
      </c>
      <c r="C98" s="87" t="s">
        <v>160</v>
      </c>
      <c r="D98" s="87"/>
      <c r="E98" s="87"/>
      <c r="F98" s="22" t="s">
        <v>79</v>
      </c>
      <c r="G98" s="194" t="s">
        <v>196</v>
      </c>
      <c r="H98" s="182" t="s">
        <v>652</v>
      </c>
      <c r="J98" s="176" t="b">
        <f>EXACT(G98,'Vh5205_C-82'!G98)</f>
        <v>1</v>
      </c>
    </row>
    <row r="99" spans="1:10" x14ac:dyDescent="0.35">
      <c r="A99" s="90">
        <v>96</v>
      </c>
      <c r="B99" s="10" t="s">
        <v>699</v>
      </c>
      <c r="C99" s="10" t="s">
        <v>428</v>
      </c>
      <c r="D99" s="146"/>
      <c r="E99" s="146"/>
      <c r="F99" s="20" t="s">
        <v>26</v>
      </c>
      <c r="G99" s="206" t="s">
        <v>196</v>
      </c>
      <c r="H99" s="140" t="s">
        <v>652</v>
      </c>
      <c r="J99" s="176" t="b">
        <f>EXACT(G99,'Vh5205_C-82'!G99)</f>
        <v>1</v>
      </c>
    </row>
    <row r="100" spans="1:10" x14ac:dyDescent="0.35">
      <c r="A100" s="90">
        <v>97</v>
      </c>
      <c r="B100" s="104" t="s">
        <v>699</v>
      </c>
      <c r="C100" s="104" t="s">
        <v>161</v>
      </c>
      <c r="D100" s="104"/>
      <c r="E100" s="104"/>
      <c r="F100" s="20" t="s">
        <v>79</v>
      </c>
      <c r="G100" s="192"/>
      <c r="H100" s="140"/>
      <c r="J100" s="1" t="b">
        <f>EXACT(G100,'Vh5205_C-82'!G100)</f>
        <v>1</v>
      </c>
    </row>
    <row r="101" spans="1:10" x14ac:dyDescent="0.35">
      <c r="A101" s="90">
        <v>98</v>
      </c>
      <c r="B101" s="104" t="s">
        <v>699</v>
      </c>
      <c r="C101" s="104" t="s">
        <v>272</v>
      </c>
      <c r="D101" s="104"/>
      <c r="E101" s="104"/>
      <c r="F101" s="20" t="s">
        <v>26</v>
      </c>
      <c r="G101" s="207">
        <v>44778</v>
      </c>
      <c r="H101" s="140" t="s">
        <v>652</v>
      </c>
      <c r="J101" s="176" t="b">
        <f>EXACT(G101,'Vh5205_C-82'!G101)</f>
        <v>1</v>
      </c>
    </row>
    <row r="102" spans="1:10" x14ac:dyDescent="0.35">
      <c r="A102" s="90">
        <v>99</v>
      </c>
      <c r="B102" s="104" t="s">
        <v>699</v>
      </c>
      <c r="C102" s="104" t="s">
        <v>271</v>
      </c>
      <c r="D102" s="104"/>
      <c r="E102" s="104"/>
      <c r="F102" s="20" t="s">
        <v>26</v>
      </c>
      <c r="G102" s="161" t="s">
        <v>503</v>
      </c>
      <c r="H102" s="140" t="s">
        <v>652</v>
      </c>
      <c r="J102" s="176" t="b">
        <f>EXACT(G102,'Vh5205_C-82'!G102)</f>
        <v>1</v>
      </c>
    </row>
    <row r="103" spans="1:10" x14ac:dyDescent="0.35">
      <c r="A103" s="90">
        <v>100</v>
      </c>
      <c r="B103" s="10" t="s">
        <v>699</v>
      </c>
      <c r="C103" s="10" t="s">
        <v>120</v>
      </c>
      <c r="D103" s="146"/>
      <c r="E103" s="146"/>
      <c r="F103" s="20" t="s">
        <v>26</v>
      </c>
      <c r="G103" s="192" t="s">
        <v>270</v>
      </c>
      <c r="H103" s="140" t="s">
        <v>652</v>
      </c>
      <c r="J103" s="176" t="b">
        <f>EXACT(G103,'Vh5205_C-82'!G103)</f>
        <v>1</v>
      </c>
    </row>
    <row r="104" spans="1:10" x14ac:dyDescent="0.35">
      <c r="A104" s="90">
        <v>101</v>
      </c>
      <c r="B104" s="10" t="s">
        <v>699</v>
      </c>
      <c r="C104" s="10" t="s">
        <v>119</v>
      </c>
      <c r="D104" s="146"/>
      <c r="E104" s="146"/>
      <c r="F104" s="20" t="s">
        <v>26</v>
      </c>
      <c r="G104" s="161">
        <v>1</v>
      </c>
      <c r="H104" s="140" t="s">
        <v>652</v>
      </c>
      <c r="J104" s="176" t="b">
        <f>EXACT(G104,'Vh5205_C-82'!G104)</f>
        <v>1</v>
      </c>
    </row>
    <row r="105" spans="1:10" x14ac:dyDescent="0.35">
      <c r="A105" s="90">
        <v>102</v>
      </c>
      <c r="B105" s="10" t="s">
        <v>699</v>
      </c>
      <c r="C105" s="10" t="s">
        <v>121</v>
      </c>
      <c r="D105" s="146"/>
      <c r="E105" s="146" t="s">
        <v>0</v>
      </c>
      <c r="F105" s="20" t="s">
        <v>26</v>
      </c>
      <c r="G105" s="161" t="s">
        <v>487</v>
      </c>
      <c r="H105" s="140" t="s">
        <v>652</v>
      </c>
      <c r="J105" s="176" t="b">
        <f>EXACT(G105,'Vh5205_C-82'!G105)</f>
        <v>1</v>
      </c>
    </row>
    <row r="106" spans="1:10" x14ac:dyDescent="0.35">
      <c r="A106" s="90">
        <v>103</v>
      </c>
      <c r="B106" s="13" t="s">
        <v>699</v>
      </c>
      <c r="C106" s="13" t="s">
        <v>430</v>
      </c>
      <c r="D106" s="87"/>
      <c r="E106" s="87"/>
      <c r="F106" s="22" t="s">
        <v>26</v>
      </c>
      <c r="G106" s="194" t="s">
        <v>196</v>
      </c>
      <c r="H106" s="182" t="s">
        <v>652</v>
      </c>
      <c r="J106" s="176" t="b">
        <f>EXACT(G106,'Vh5205_C-82'!G106)</f>
        <v>1</v>
      </c>
    </row>
    <row r="107" spans="1:10" x14ac:dyDescent="0.35">
      <c r="A107" s="90">
        <v>104</v>
      </c>
      <c r="B107" s="10" t="s">
        <v>700</v>
      </c>
      <c r="C107" s="10" t="s">
        <v>458</v>
      </c>
      <c r="D107" s="146"/>
      <c r="E107" s="146"/>
      <c r="F107" s="20" t="s">
        <v>26</v>
      </c>
      <c r="G107" s="197" t="s">
        <v>196</v>
      </c>
      <c r="H107" s="140" t="s">
        <v>652</v>
      </c>
      <c r="J107" s="176" t="b">
        <f>EXACT(G107,'Vh5205_C-82'!G107)</f>
        <v>1</v>
      </c>
    </row>
    <row r="108" spans="1:10" ht="31" x14ac:dyDescent="0.35">
      <c r="A108" s="90">
        <v>105</v>
      </c>
      <c r="B108" s="104" t="s">
        <v>700</v>
      </c>
      <c r="C108" s="104" t="s">
        <v>459</v>
      </c>
      <c r="D108" s="104"/>
      <c r="E108" s="104"/>
      <c r="F108" s="20" t="s">
        <v>26</v>
      </c>
      <c r="G108" s="161" t="s">
        <v>609</v>
      </c>
      <c r="H108" s="140" t="s">
        <v>652</v>
      </c>
      <c r="J108" s="176" t="b">
        <f>EXACT(G108,'Vh5205_C-82'!G108)</f>
        <v>1</v>
      </c>
    </row>
    <row r="109" spans="1:10" x14ac:dyDescent="0.35">
      <c r="A109" s="90">
        <v>106</v>
      </c>
      <c r="B109" s="104" t="s">
        <v>700</v>
      </c>
      <c r="C109" s="104" t="s">
        <v>161</v>
      </c>
      <c r="D109" s="104"/>
      <c r="E109" s="104"/>
      <c r="F109" s="20" t="s">
        <v>79</v>
      </c>
      <c r="G109" s="161" t="s">
        <v>539</v>
      </c>
      <c r="H109" s="140" t="s">
        <v>652</v>
      </c>
      <c r="J109" s="176" t="b">
        <f>EXACT(G109,'Vh5205_C-82'!G109)</f>
        <v>1</v>
      </c>
    </row>
    <row r="110" spans="1:10" x14ac:dyDescent="0.35">
      <c r="A110" s="90">
        <v>107</v>
      </c>
      <c r="B110" s="104" t="s">
        <v>700</v>
      </c>
      <c r="C110" s="104" t="s">
        <v>272</v>
      </c>
      <c r="D110" s="104"/>
      <c r="E110" s="104"/>
      <c r="F110" s="20" t="s">
        <v>26</v>
      </c>
      <c r="G110" s="207">
        <v>45098</v>
      </c>
      <c r="H110" s="140" t="s">
        <v>652</v>
      </c>
      <c r="J110" s="176" t="b">
        <f>EXACT(G110,'Vh5205_C-82'!G110)</f>
        <v>1</v>
      </c>
    </row>
    <row r="111" spans="1:10" x14ac:dyDescent="0.35">
      <c r="A111" s="90">
        <v>108</v>
      </c>
      <c r="B111" s="104" t="s">
        <v>700</v>
      </c>
      <c r="C111" s="104" t="s">
        <v>271</v>
      </c>
      <c r="D111" s="104"/>
      <c r="E111" s="104"/>
      <c r="F111" s="20" t="s">
        <v>26</v>
      </c>
      <c r="G111" s="192" t="s">
        <v>504</v>
      </c>
      <c r="H111" s="140" t="s">
        <v>652</v>
      </c>
      <c r="J111" s="176" t="b">
        <f>EXACT(G111,'Vh5205_C-82'!G111)</f>
        <v>1</v>
      </c>
    </row>
    <row r="112" spans="1:10" x14ac:dyDescent="0.35">
      <c r="A112" s="90">
        <v>109</v>
      </c>
      <c r="B112" s="10" t="s">
        <v>700</v>
      </c>
      <c r="C112" s="10" t="s">
        <v>120</v>
      </c>
      <c r="D112" s="146"/>
      <c r="E112" s="146"/>
      <c r="F112" s="20" t="s">
        <v>26</v>
      </c>
      <c r="G112" s="192" t="s">
        <v>524</v>
      </c>
      <c r="H112" s="140" t="s">
        <v>652</v>
      </c>
      <c r="J112" s="176" t="b">
        <f>EXACT(G112,'Vh5205_C-82'!G112)</f>
        <v>1</v>
      </c>
    </row>
    <row r="113" spans="1:10" x14ac:dyDescent="0.35">
      <c r="A113" s="90">
        <v>110</v>
      </c>
      <c r="B113" s="10" t="s">
        <v>700</v>
      </c>
      <c r="C113" s="10" t="s">
        <v>119</v>
      </c>
      <c r="D113" s="146"/>
      <c r="E113" s="146"/>
      <c r="F113" s="20" t="s">
        <v>26</v>
      </c>
      <c r="G113" s="192" t="s">
        <v>524</v>
      </c>
      <c r="H113" s="140" t="s">
        <v>652</v>
      </c>
      <c r="J113" s="176" t="b">
        <f>EXACT(G113,'Vh5205_C-82'!G113)</f>
        <v>1</v>
      </c>
    </row>
    <row r="114" spans="1:10" x14ac:dyDescent="0.35">
      <c r="A114" s="90">
        <v>111</v>
      </c>
      <c r="B114" s="13" t="s">
        <v>700</v>
      </c>
      <c r="C114" s="13" t="s">
        <v>121</v>
      </c>
      <c r="D114" s="87"/>
      <c r="E114" s="87" t="s">
        <v>0</v>
      </c>
      <c r="F114" s="21" t="s">
        <v>26</v>
      </c>
      <c r="G114" s="194" t="s">
        <v>505</v>
      </c>
      <c r="H114" s="182" t="s">
        <v>652</v>
      </c>
      <c r="J114" s="176" t="b">
        <f>EXACT(G114,'Vh5205_C-82'!G114)</f>
        <v>1</v>
      </c>
    </row>
    <row r="115" spans="1:10" x14ac:dyDescent="0.35">
      <c r="A115" s="90">
        <v>112</v>
      </c>
      <c r="B115" s="102" t="s">
        <v>701</v>
      </c>
      <c r="C115" s="102" t="s">
        <v>308</v>
      </c>
      <c r="D115" s="146"/>
      <c r="E115" s="146"/>
      <c r="F115" s="39" t="s">
        <v>26</v>
      </c>
      <c r="G115" s="197" t="s">
        <v>347</v>
      </c>
      <c r="H115" s="140" t="s">
        <v>652</v>
      </c>
      <c r="J115" s="176" t="b">
        <f>EXACT(G115,'Vh5205_C-82'!G115)</f>
        <v>1</v>
      </c>
    </row>
    <row r="116" spans="1:10" s="7" customFormat="1" x14ac:dyDescent="0.35">
      <c r="A116" s="90">
        <v>113</v>
      </c>
      <c r="B116" s="13" t="s">
        <v>701</v>
      </c>
      <c r="C116" s="13" t="s">
        <v>163</v>
      </c>
      <c r="D116" s="87"/>
      <c r="E116" s="87"/>
      <c r="F116" s="22" t="s">
        <v>26</v>
      </c>
      <c r="G116" s="194" t="s">
        <v>196</v>
      </c>
      <c r="H116" s="182" t="s">
        <v>652</v>
      </c>
      <c r="J116" s="176" t="b">
        <f>EXACT(G116,'Vh5205_C-82'!G116)</f>
        <v>1</v>
      </c>
    </row>
    <row r="117" spans="1:10" s="7" customFormat="1" x14ac:dyDescent="0.35">
      <c r="A117" s="90">
        <v>114</v>
      </c>
      <c r="B117" s="102" t="s">
        <v>702</v>
      </c>
      <c r="C117" s="102" t="s">
        <v>164</v>
      </c>
      <c r="D117" s="100"/>
      <c r="E117" s="100"/>
      <c r="F117" s="18" t="s">
        <v>26</v>
      </c>
      <c r="G117" s="206" t="s">
        <v>196</v>
      </c>
      <c r="H117" s="140" t="s">
        <v>652</v>
      </c>
      <c r="J117" s="176" t="b">
        <f>EXACT(G117,'Vh5205_C-82'!G117)</f>
        <v>1</v>
      </c>
    </row>
    <row r="118" spans="1:10" s="7" customFormat="1" x14ac:dyDescent="0.35">
      <c r="A118" s="90">
        <v>115</v>
      </c>
      <c r="B118" s="13" t="s">
        <v>702</v>
      </c>
      <c r="C118" s="13" t="s">
        <v>191</v>
      </c>
      <c r="D118" s="87"/>
      <c r="E118" s="87"/>
      <c r="F118" s="22" t="s">
        <v>79</v>
      </c>
      <c r="G118" s="194" t="s">
        <v>196</v>
      </c>
      <c r="H118" s="182" t="s">
        <v>652</v>
      </c>
      <c r="J118" s="176" t="b">
        <f>EXACT(G118,'Vh5205_C-82'!G118)</f>
        <v>1</v>
      </c>
    </row>
    <row r="119" spans="1:10" s="7" customFormat="1" x14ac:dyDescent="0.35">
      <c r="A119" s="90">
        <v>116</v>
      </c>
      <c r="B119" s="146" t="s">
        <v>703</v>
      </c>
      <c r="C119" s="146" t="s">
        <v>106</v>
      </c>
      <c r="D119" s="146"/>
      <c r="E119" s="146"/>
      <c r="F119" s="19" t="s">
        <v>26</v>
      </c>
      <c r="G119" s="197" t="s">
        <v>488</v>
      </c>
      <c r="H119" s="140" t="s">
        <v>652</v>
      </c>
      <c r="J119" s="176" t="b">
        <f>EXACT(G119,'Vh5205_C-82'!G119)</f>
        <v>1</v>
      </c>
    </row>
    <row r="120" spans="1:10" x14ac:dyDescent="0.35">
      <c r="A120" s="90">
        <v>117</v>
      </c>
      <c r="B120" s="146" t="s">
        <v>703</v>
      </c>
      <c r="C120" s="146" t="s">
        <v>434</v>
      </c>
      <c r="D120" s="5"/>
      <c r="E120" s="5"/>
      <c r="F120" s="19" t="s">
        <v>26</v>
      </c>
      <c r="G120" s="161" t="s">
        <v>506</v>
      </c>
      <c r="H120" s="140" t="s">
        <v>652</v>
      </c>
      <c r="J120" s="176" t="b">
        <f>EXACT(G120,'Vh5205_C-82'!G120)</f>
        <v>1</v>
      </c>
    </row>
    <row r="121" spans="1:10" ht="31" x14ac:dyDescent="0.35">
      <c r="A121" s="90">
        <v>118</v>
      </c>
      <c r="B121" s="87" t="s">
        <v>703</v>
      </c>
      <c r="C121" s="87" t="s">
        <v>350</v>
      </c>
      <c r="D121" s="93"/>
      <c r="E121" s="93"/>
      <c r="F121" s="22" t="s">
        <v>26</v>
      </c>
      <c r="G121" s="194" t="s">
        <v>196</v>
      </c>
      <c r="H121" s="182" t="s">
        <v>652</v>
      </c>
      <c r="J121" s="176" t="b">
        <f>EXACT(G121,'Vh5205_C-82'!G121)</f>
        <v>1</v>
      </c>
    </row>
    <row r="122" spans="1:10" x14ac:dyDescent="0.35">
      <c r="A122" s="90">
        <v>119</v>
      </c>
      <c r="B122" s="5" t="s">
        <v>704</v>
      </c>
      <c r="C122" s="5" t="s">
        <v>135</v>
      </c>
      <c r="D122" s="5"/>
      <c r="E122" s="5"/>
      <c r="F122" s="19" t="s">
        <v>26</v>
      </c>
      <c r="G122" s="206" t="s">
        <v>269</v>
      </c>
      <c r="H122" s="140" t="s">
        <v>652</v>
      </c>
      <c r="J122" s="176" t="b">
        <f>EXACT(G122,'Vh5205_C-82'!G122)</f>
        <v>1</v>
      </c>
    </row>
    <row r="123" spans="1:10" s="7" customFormat="1" ht="46.5" x14ac:dyDescent="0.35">
      <c r="A123" s="90">
        <v>120</v>
      </c>
      <c r="B123" s="146" t="s">
        <v>704</v>
      </c>
      <c r="C123" s="146" t="s">
        <v>316</v>
      </c>
      <c r="D123" s="146"/>
      <c r="E123" s="146"/>
      <c r="F123" s="19" t="s">
        <v>79</v>
      </c>
      <c r="G123" s="161" t="s">
        <v>528</v>
      </c>
      <c r="H123" s="177"/>
      <c r="J123" s="1" t="b">
        <f>EXACT(G123,'Vh5205_C-82'!G123)</f>
        <v>1</v>
      </c>
    </row>
    <row r="124" spans="1:10" x14ac:dyDescent="0.35">
      <c r="A124" s="90">
        <v>121</v>
      </c>
      <c r="B124" s="5" t="s">
        <v>704</v>
      </c>
      <c r="C124" s="5" t="s">
        <v>354</v>
      </c>
      <c r="D124" s="5"/>
      <c r="E124" s="5"/>
      <c r="F124" s="19" t="s">
        <v>26</v>
      </c>
      <c r="G124" s="161" t="s">
        <v>205</v>
      </c>
      <c r="H124" s="164" t="s">
        <v>652</v>
      </c>
      <c r="J124" s="176" t="b">
        <f>EXACT(G124,'Vh5205_C-82'!G124)</f>
        <v>1</v>
      </c>
    </row>
    <row r="125" spans="1:10" x14ac:dyDescent="0.35">
      <c r="A125" s="90">
        <v>122</v>
      </c>
      <c r="B125" s="5" t="s">
        <v>704</v>
      </c>
      <c r="C125" s="5" t="s">
        <v>139</v>
      </c>
      <c r="D125" s="5"/>
      <c r="E125" s="5" t="s">
        <v>2</v>
      </c>
      <c r="F125" s="19" t="s">
        <v>79</v>
      </c>
      <c r="G125" s="192" t="s">
        <v>489</v>
      </c>
      <c r="H125" s="164" t="s">
        <v>652</v>
      </c>
      <c r="J125" s="176" t="b">
        <f>EXACT(G125,'Vh5205_C-82'!G125)</f>
        <v>1</v>
      </c>
    </row>
    <row r="126" spans="1:10" x14ac:dyDescent="0.35">
      <c r="A126" s="90">
        <v>123</v>
      </c>
      <c r="B126" s="5" t="s">
        <v>704</v>
      </c>
      <c r="C126" s="5" t="s">
        <v>140</v>
      </c>
      <c r="D126" s="5"/>
      <c r="E126" s="5"/>
      <c r="F126" s="19" t="s">
        <v>79</v>
      </c>
      <c r="G126" s="192" t="s">
        <v>538</v>
      </c>
      <c r="H126" s="164" t="s">
        <v>652</v>
      </c>
      <c r="J126" s="176" t="b">
        <f>EXACT(G126,'Vh5205_C-82'!G126)</f>
        <v>1</v>
      </c>
    </row>
    <row r="127" spans="1:10" s="7" customFormat="1" x14ac:dyDescent="0.35">
      <c r="A127" s="90">
        <v>124</v>
      </c>
      <c r="B127" s="10" t="s">
        <v>704</v>
      </c>
      <c r="C127" s="10" t="s">
        <v>122</v>
      </c>
      <c r="D127" s="146"/>
      <c r="E127" s="146"/>
      <c r="F127" s="20" t="s">
        <v>26</v>
      </c>
      <c r="G127" s="161" t="s">
        <v>196</v>
      </c>
      <c r="H127" s="164" t="s">
        <v>652</v>
      </c>
      <c r="J127" s="176" t="b">
        <f>EXACT(G127,'Vh5205_C-82'!G127)</f>
        <v>1</v>
      </c>
    </row>
    <row r="128" spans="1:10" x14ac:dyDescent="0.35">
      <c r="A128" s="90">
        <v>125</v>
      </c>
      <c r="B128" s="5" t="s">
        <v>704</v>
      </c>
      <c r="C128" s="5" t="s">
        <v>137</v>
      </c>
      <c r="D128" s="5"/>
      <c r="E128" s="5"/>
      <c r="F128" s="19" t="s">
        <v>26</v>
      </c>
      <c r="G128" s="192" t="s">
        <v>359</v>
      </c>
      <c r="H128" s="164" t="s">
        <v>652</v>
      </c>
      <c r="J128" s="176" t="b">
        <f>EXACT(G128,'Vh5205_C-82'!G128)</f>
        <v>1</v>
      </c>
    </row>
    <row r="129" spans="1:10" s="7" customFormat="1" x14ac:dyDescent="0.35">
      <c r="A129" s="90">
        <v>126</v>
      </c>
      <c r="B129" s="146" t="s">
        <v>704</v>
      </c>
      <c r="C129" s="146" t="s">
        <v>120</v>
      </c>
      <c r="D129" s="146"/>
      <c r="E129" s="146"/>
      <c r="F129" s="20" t="s">
        <v>26</v>
      </c>
      <c r="G129" s="161" t="s">
        <v>490</v>
      </c>
      <c r="H129" s="164" t="s">
        <v>652</v>
      </c>
      <c r="J129" s="176" t="b">
        <f>EXACT(G129,'Vh5205_C-82'!G129)</f>
        <v>1</v>
      </c>
    </row>
    <row r="130" spans="1:10" s="7" customFormat="1" x14ac:dyDescent="0.35">
      <c r="A130" s="90">
        <v>127</v>
      </c>
      <c r="B130" s="104" t="s">
        <v>704</v>
      </c>
      <c r="C130" s="104" t="s">
        <v>161</v>
      </c>
      <c r="D130" s="146"/>
      <c r="E130" s="146"/>
      <c r="F130" s="20" t="s">
        <v>79</v>
      </c>
      <c r="G130" s="161" t="s">
        <v>539</v>
      </c>
      <c r="H130" s="164" t="s">
        <v>652</v>
      </c>
      <c r="J130" s="176" t="b">
        <f>EXACT(G130,'Vh5205_C-82'!G130)</f>
        <v>1</v>
      </c>
    </row>
    <row r="131" spans="1:10" s="7" customFormat="1" x14ac:dyDescent="0.35">
      <c r="A131" s="90">
        <v>128</v>
      </c>
      <c r="B131" s="104" t="s">
        <v>704</v>
      </c>
      <c r="C131" s="104" t="s">
        <v>358</v>
      </c>
      <c r="D131" s="146"/>
      <c r="E131" s="146"/>
      <c r="F131" s="20" t="s">
        <v>26</v>
      </c>
      <c r="G131" s="195">
        <v>44781</v>
      </c>
      <c r="H131" s="177"/>
      <c r="J131" s="1" t="b">
        <f>EXACT(G131,'Vh5205_C-82'!G131)</f>
        <v>1</v>
      </c>
    </row>
    <row r="132" spans="1:10" s="7" customFormat="1" x14ac:dyDescent="0.35">
      <c r="A132" s="90">
        <v>129</v>
      </c>
      <c r="B132" s="104" t="s">
        <v>704</v>
      </c>
      <c r="C132" s="104" t="s">
        <v>271</v>
      </c>
      <c r="D132" s="146"/>
      <c r="E132" s="146"/>
      <c r="F132" s="20" t="s">
        <v>26</v>
      </c>
      <c r="G132" s="161" t="s">
        <v>504</v>
      </c>
      <c r="H132" s="177" t="s">
        <v>652</v>
      </c>
      <c r="J132" s="176" t="b">
        <f>EXACT(G132,'Vh5205_C-82'!G132)</f>
        <v>1</v>
      </c>
    </row>
    <row r="133" spans="1:10" ht="46.5" x14ac:dyDescent="0.35">
      <c r="A133" s="90">
        <v>130</v>
      </c>
      <c r="B133" s="91" t="s">
        <v>704</v>
      </c>
      <c r="C133" s="91" t="s">
        <v>315</v>
      </c>
      <c r="D133" s="5"/>
      <c r="E133" s="5" t="s">
        <v>85</v>
      </c>
      <c r="F133" s="19" t="s">
        <v>79</v>
      </c>
      <c r="G133" s="198" t="s">
        <v>525</v>
      </c>
      <c r="H133" s="177" t="s">
        <v>652</v>
      </c>
      <c r="J133" s="176" t="b">
        <f>EXACT(G133,'Vh5205_C-82'!G133)</f>
        <v>1</v>
      </c>
    </row>
    <row r="134" spans="1:10" s="7" customFormat="1" x14ac:dyDescent="0.35">
      <c r="A134" s="90">
        <v>131</v>
      </c>
      <c r="B134" s="146" t="s">
        <v>704</v>
      </c>
      <c r="C134" s="146" t="s">
        <v>121</v>
      </c>
      <c r="D134" s="146"/>
      <c r="E134" s="146" t="s">
        <v>85</v>
      </c>
      <c r="F134" s="20" t="s">
        <v>26</v>
      </c>
      <c r="G134" s="161" t="s">
        <v>491</v>
      </c>
      <c r="H134" s="177" t="s">
        <v>652</v>
      </c>
      <c r="J134" s="176" t="b">
        <f>EXACT(G134,'Vh5205_C-82'!G134)</f>
        <v>1</v>
      </c>
    </row>
    <row r="135" spans="1:10" x14ac:dyDescent="0.35">
      <c r="A135" s="90">
        <v>132</v>
      </c>
      <c r="B135" s="5" t="s">
        <v>704</v>
      </c>
      <c r="C135" s="5" t="s">
        <v>165</v>
      </c>
      <c r="D135" s="5"/>
      <c r="E135" s="5"/>
      <c r="F135" s="19" t="s">
        <v>26</v>
      </c>
      <c r="G135" s="192" t="s">
        <v>540</v>
      </c>
      <c r="H135" s="177" t="s">
        <v>652</v>
      </c>
      <c r="J135" s="176" t="b">
        <f>EXACT(G135,'Vh5205_C-82'!G135)</f>
        <v>1</v>
      </c>
    </row>
    <row r="136" spans="1:10" x14ac:dyDescent="0.35">
      <c r="A136" s="90">
        <v>133</v>
      </c>
      <c r="B136" s="5" t="s">
        <v>704</v>
      </c>
      <c r="C136" s="5" t="s">
        <v>166</v>
      </c>
      <c r="D136" s="5"/>
      <c r="E136" s="5"/>
      <c r="F136" s="19" t="s">
        <v>26</v>
      </c>
      <c r="G136" s="161">
        <v>3</v>
      </c>
      <c r="H136" s="177" t="s">
        <v>652</v>
      </c>
      <c r="J136" s="176" t="b">
        <f>EXACT(G136,'Vh5205_C-82'!G136)</f>
        <v>1</v>
      </c>
    </row>
    <row r="137" spans="1:10" x14ac:dyDescent="0.35">
      <c r="A137" s="90">
        <v>134</v>
      </c>
      <c r="B137" s="5" t="s">
        <v>704</v>
      </c>
      <c r="C137" s="5" t="s">
        <v>141</v>
      </c>
      <c r="D137" s="5"/>
      <c r="E137" s="5"/>
      <c r="F137" s="19" t="s">
        <v>26</v>
      </c>
      <c r="G137" s="161" t="s">
        <v>522</v>
      </c>
      <c r="H137" s="177" t="s">
        <v>652</v>
      </c>
      <c r="J137" s="176" t="b">
        <f>EXACT(G137,'Vh5205_C-82'!G137)</f>
        <v>1</v>
      </c>
    </row>
    <row r="138" spans="1:10" s="7" customFormat="1" x14ac:dyDescent="0.35">
      <c r="A138" s="90"/>
      <c r="B138" s="114" t="s">
        <v>704</v>
      </c>
      <c r="C138" s="114"/>
      <c r="D138" s="87"/>
      <c r="E138" s="87"/>
      <c r="F138" s="21"/>
      <c r="G138" s="196"/>
      <c r="H138" s="180"/>
      <c r="J138" s="1" t="b">
        <f>EXACT(G138,'Vh5205_C-82'!G138)</f>
        <v>1</v>
      </c>
    </row>
    <row r="139" spans="1:10" s="7" customFormat="1" x14ac:dyDescent="0.35">
      <c r="A139" s="90">
        <v>135</v>
      </c>
      <c r="B139" s="10" t="s">
        <v>705</v>
      </c>
      <c r="C139" s="10" t="s">
        <v>142</v>
      </c>
      <c r="D139" s="146"/>
      <c r="E139" s="146"/>
      <c r="F139" s="20" t="s">
        <v>26</v>
      </c>
      <c r="G139" s="192" t="s">
        <v>196</v>
      </c>
      <c r="H139" s="177" t="s">
        <v>652</v>
      </c>
      <c r="J139" s="176" t="b">
        <f>EXACT(G139,'Vh5205_C-82'!G139)</f>
        <v>1</v>
      </c>
    </row>
    <row r="140" spans="1:10" x14ac:dyDescent="0.35">
      <c r="A140" s="90">
        <v>136</v>
      </c>
      <c r="B140" s="5" t="s">
        <v>705</v>
      </c>
      <c r="C140" s="5" t="s">
        <v>138</v>
      </c>
      <c r="D140" s="5"/>
      <c r="E140" s="5"/>
      <c r="F140" s="19" t="s">
        <v>79</v>
      </c>
      <c r="G140" s="161" t="s">
        <v>526</v>
      </c>
      <c r="H140" s="177" t="s">
        <v>652</v>
      </c>
      <c r="J140" s="176" t="b">
        <f>EXACT(G140,'Vh5205_C-82'!G140)</f>
        <v>1</v>
      </c>
    </row>
    <row r="141" spans="1:10" x14ac:dyDescent="0.35">
      <c r="A141" s="90">
        <v>137</v>
      </c>
      <c r="B141" s="104" t="s">
        <v>705</v>
      </c>
      <c r="C141" s="104" t="s">
        <v>161</v>
      </c>
      <c r="D141" s="104"/>
      <c r="E141" s="104"/>
      <c r="F141" s="19" t="s">
        <v>79</v>
      </c>
      <c r="G141" s="161" t="s">
        <v>539</v>
      </c>
      <c r="H141" s="177" t="s">
        <v>652</v>
      </c>
      <c r="J141" s="176" t="b">
        <f>EXACT(G141,'Vh5205_C-82'!G141)</f>
        <v>1</v>
      </c>
    </row>
    <row r="142" spans="1:10" x14ac:dyDescent="0.35">
      <c r="A142" s="90">
        <v>138</v>
      </c>
      <c r="B142" s="104" t="s">
        <v>705</v>
      </c>
      <c r="C142" s="104" t="s">
        <v>358</v>
      </c>
      <c r="D142" s="104"/>
      <c r="E142" s="104"/>
      <c r="F142" s="20" t="s">
        <v>26</v>
      </c>
      <c r="G142" s="195">
        <v>44754</v>
      </c>
      <c r="H142" s="140"/>
      <c r="J142" s="1" t="b">
        <f>EXACT(G142,'Vh5205_C-82'!G142)</f>
        <v>1</v>
      </c>
    </row>
    <row r="143" spans="1:10" x14ac:dyDescent="0.35">
      <c r="A143" s="90">
        <v>139</v>
      </c>
      <c r="B143" s="104" t="s">
        <v>705</v>
      </c>
      <c r="C143" s="104" t="s">
        <v>271</v>
      </c>
      <c r="D143" s="104"/>
      <c r="E143" s="104"/>
      <c r="F143" s="20" t="s">
        <v>26</v>
      </c>
      <c r="G143" s="161" t="s">
        <v>492</v>
      </c>
      <c r="H143" s="177" t="s">
        <v>652</v>
      </c>
      <c r="J143" s="176" t="b">
        <f>EXACT(G143,'Vh5205_C-82'!G143)</f>
        <v>1</v>
      </c>
    </row>
    <row r="144" spans="1:10" x14ac:dyDescent="0.35">
      <c r="A144" s="90">
        <v>140</v>
      </c>
      <c r="B144" s="5" t="s">
        <v>705</v>
      </c>
      <c r="C144" s="5" t="s">
        <v>137</v>
      </c>
      <c r="D144" s="5"/>
      <c r="E144" s="5"/>
      <c r="F144" s="19" t="s">
        <v>26</v>
      </c>
      <c r="G144" s="161" t="s">
        <v>493</v>
      </c>
      <c r="H144" s="177" t="s">
        <v>652</v>
      </c>
      <c r="J144" s="176" t="b">
        <f>EXACT(G144,'Vh5205_C-82'!G144)</f>
        <v>1</v>
      </c>
    </row>
    <row r="145" spans="1:10" x14ac:dyDescent="0.35">
      <c r="A145" s="90">
        <v>141</v>
      </c>
      <c r="B145" s="146" t="s">
        <v>705</v>
      </c>
      <c r="C145" s="146" t="s">
        <v>120</v>
      </c>
      <c r="D145" s="146"/>
      <c r="E145" s="146"/>
      <c r="F145" s="19" t="s">
        <v>26</v>
      </c>
      <c r="G145" s="161" t="s">
        <v>273</v>
      </c>
      <c r="H145" s="177" t="s">
        <v>652</v>
      </c>
      <c r="J145" s="176" t="b">
        <f>EXACT(G145,'Vh5205_C-82'!G145)</f>
        <v>1</v>
      </c>
    </row>
    <row r="146" spans="1:10" x14ac:dyDescent="0.35">
      <c r="A146" s="90">
        <v>142</v>
      </c>
      <c r="B146" s="91" t="s">
        <v>705</v>
      </c>
      <c r="C146" s="91" t="s">
        <v>315</v>
      </c>
      <c r="D146" s="5"/>
      <c r="E146" s="5" t="s">
        <v>85</v>
      </c>
      <c r="F146" s="19" t="s">
        <v>79</v>
      </c>
      <c r="G146" s="198" t="s">
        <v>532</v>
      </c>
      <c r="H146" s="140"/>
      <c r="J146" s="1" t="b">
        <f>EXACT(G146,'Vh5205_C-82'!G146)</f>
        <v>1</v>
      </c>
    </row>
    <row r="147" spans="1:10" x14ac:dyDescent="0.35">
      <c r="A147" s="90">
        <v>143</v>
      </c>
      <c r="B147" s="87" t="s">
        <v>705</v>
      </c>
      <c r="C147" s="87" t="s">
        <v>121</v>
      </c>
      <c r="D147" s="93"/>
      <c r="E147" s="87" t="s">
        <v>85</v>
      </c>
      <c r="F147" s="22" t="s">
        <v>26</v>
      </c>
      <c r="G147" s="196" t="s">
        <v>274</v>
      </c>
      <c r="H147" s="180" t="s">
        <v>652</v>
      </c>
      <c r="J147" s="176" t="b">
        <f>EXACT(G147,'Vh5205_C-82'!G147)</f>
        <v>1</v>
      </c>
    </row>
    <row r="148" spans="1:10" x14ac:dyDescent="0.35">
      <c r="A148" s="90">
        <v>144</v>
      </c>
      <c r="B148" s="111" t="s">
        <v>706</v>
      </c>
      <c r="C148" s="111" t="s">
        <v>287</v>
      </c>
      <c r="D148" s="111"/>
      <c r="E148" s="111"/>
      <c r="F148" s="18" t="s">
        <v>26</v>
      </c>
      <c r="G148" s="197" t="s">
        <v>281</v>
      </c>
      <c r="H148" s="177" t="s">
        <v>652</v>
      </c>
      <c r="J148" s="176" t="b">
        <f>EXACT(G148,'Vh5205_C-82'!G148)</f>
        <v>1</v>
      </c>
    </row>
    <row r="149" spans="1:10" x14ac:dyDescent="0.35">
      <c r="A149" s="90">
        <v>145</v>
      </c>
      <c r="B149" s="5" t="s">
        <v>706</v>
      </c>
      <c r="C149" s="5" t="s">
        <v>366</v>
      </c>
      <c r="D149" s="5"/>
      <c r="E149" s="5"/>
      <c r="F149" s="19" t="s">
        <v>26</v>
      </c>
      <c r="G149" s="161" t="s">
        <v>288</v>
      </c>
      <c r="H149" s="177" t="s">
        <v>652</v>
      </c>
      <c r="J149" s="176" t="b">
        <f>EXACT(G149,'Vh5205_C-82'!G149)</f>
        <v>1</v>
      </c>
    </row>
    <row r="150" spans="1:10" x14ac:dyDescent="0.35">
      <c r="A150" s="90">
        <v>146</v>
      </c>
      <c r="B150" s="93" t="s">
        <v>706</v>
      </c>
      <c r="C150" s="93" t="s">
        <v>367</v>
      </c>
      <c r="D150" s="93"/>
      <c r="E150" s="93"/>
      <c r="F150" s="22" t="s">
        <v>26</v>
      </c>
      <c r="G150" s="194" t="s">
        <v>524</v>
      </c>
      <c r="H150" s="180" t="s">
        <v>652</v>
      </c>
      <c r="J150" s="176" t="b">
        <f>EXACT(G150,'Vh5205_C-82'!G150)</f>
        <v>1</v>
      </c>
    </row>
    <row r="151" spans="1:10" s="7" customFormat="1" x14ac:dyDescent="0.35">
      <c r="A151" s="90">
        <v>147</v>
      </c>
      <c r="B151" s="100" t="s">
        <v>707</v>
      </c>
      <c r="C151" s="100" t="s">
        <v>169</v>
      </c>
      <c r="D151" s="146"/>
      <c r="E151" s="146"/>
      <c r="F151" s="19" t="s">
        <v>26</v>
      </c>
      <c r="G151" s="206" t="s">
        <v>541</v>
      </c>
      <c r="H151" s="177" t="s">
        <v>652</v>
      </c>
      <c r="J151" s="176" t="b">
        <f>EXACT(G151,'Vh5205_C-82'!G151)</f>
        <v>1</v>
      </c>
    </row>
    <row r="152" spans="1:10" s="7" customFormat="1" x14ac:dyDescent="0.35">
      <c r="A152" s="90">
        <v>148</v>
      </c>
      <c r="B152" s="146" t="s">
        <v>707</v>
      </c>
      <c r="C152" s="146" t="s">
        <v>192</v>
      </c>
      <c r="D152" s="146"/>
      <c r="E152" s="146"/>
      <c r="F152" s="19" t="s">
        <v>26</v>
      </c>
      <c r="G152" s="192" t="s">
        <v>542</v>
      </c>
      <c r="H152" s="177" t="s">
        <v>652</v>
      </c>
      <c r="J152" s="176" t="b">
        <f>EXACT(G152,'Vh5205_C-82'!G152)</f>
        <v>1</v>
      </c>
    </row>
    <row r="153" spans="1:10" s="7" customFormat="1" x14ac:dyDescent="0.35">
      <c r="A153" s="90">
        <v>149</v>
      </c>
      <c r="B153" s="146" t="s">
        <v>707</v>
      </c>
      <c r="C153" s="146" t="s">
        <v>170</v>
      </c>
      <c r="D153" s="146"/>
      <c r="E153" s="146"/>
      <c r="F153" s="19" t="s">
        <v>26</v>
      </c>
      <c r="G153" s="192" t="s">
        <v>275</v>
      </c>
      <c r="H153" s="177" t="s">
        <v>652</v>
      </c>
      <c r="J153" s="176" t="b">
        <f>EXACT(G153,'Vh5205_C-82'!G153)</f>
        <v>1</v>
      </c>
    </row>
    <row r="154" spans="1:10" s="7" customFormat="1" x14ac:dyDescent="0.35">
      <c r="A154" s="90">
        <v>150</v>
      </c>
      <c r="B154" s="146" t="s">
        <v>707</v>
      </c>
      <c r="C154" s="146" t="s">
        <v>280</v>
      </c>
      <c r="D154" s="146"/>
      <c r="E154" s="146"/>
      <c r="F154" s="19" t="s">
        <v>79</v>
      </c>
      <c r="G154" s="161" t="s">
        <v>494</v>
      </c>
      <c r="H154" s="177" t="s">
        <v>652</v>
      </c>
      <c r="J154" s="176" t="b">
        <f>EXACT(G154,'Vh5205_C-82'!G154)</f>
        <v>1</v>
      </c>
    </row>
    <row r="155" spans="1:10" s="7" customFormat="1" x14ac:dyDescent="0.35">
      <c r="A155" s="90">
        <v>151</v>
      </c>
      <c r="B155" s="146" t="s">
        <v>707</v>
      </c>
      <c r="C155" s="146" t="s">
        <v>44</v>
      </c>
      <c r="D155" s="146"/>
      <c r="E155" s="146"/>
      <c r="F155" s="19" t="s">
        <v>79</v>
      </c>
      <c r="G155" s="205" t="s">
        <v>495</v>
      </c>
      <c r="H155" s="177" t="s">
        <v>652</v>
      </c>
      <c r="J155" s="176" t="b">
        <f>EXACT(G155,'Vh5205_C-82'!G155)</f>
        <v>1</v>
      </c>
    </row>
    <row r="156" spans="1:10" s="7" customFormat="1" x14ac:dyDescent="0.35">
      <c r="A156" s="90">
        <v>152</v>
      </c>
      <c r="B156" s="10" t="s">
        <v>707</v>
      </c>
      <c r="C156" s="10" t="s">
        <v>289</v>
      </c>
      <c r="D156" s="146"/>
      <c r="E156" s="146"/>
      <c r="F156" s="20" t="s">
        <v>79</v>
      </c>
      <c r="G156" s="192" t="s">
        <v>524</v>
      </c>
      <c r="H156" s="177" t="s">
        <v>652</v>
      </c>
      <c r="J156" s="176" t="b">
        <f>EXACT(G156,'Vh5205_C-82'!G156)</f>
        <v>1</v>
      </c>
    </row>
    <row r="157" spans="1:10" s="7" customFormat="1" x14ac:dyDescent="0.35">
      <c r="A157" s="90">
        <v>153</v>
      </c>
      <c r="B157" s="146" t="s">
        <v>707</v>
      </c>
      <c r="C157" s="146" t="s">
        <v>279</v>
      </c>
      <c r="D157" s="146"/>
      <c r="E157" s="146"/>
      <c r="F157" s="19" t="s">
        <v>79</v>
      </c>
      <c r="G157" s="192" t="s">
        <v>385</v>
      </c>
      <c r="H157" s="177" t="s">
        <v>652</v>
      </c>
      <c r="J157" s="176" t="b">
        <f>EXACT(G157,'Vh5205_C-82'!G157)</f>
        <v>1</v>
      </c>
    </row>
    <row r="158" spans="1:10" s="7" customFormat="1" x14ac:dyDescent="0.35">
      <c r="A158" s="90">
        <v>154</v>
      </c>
      <c r="B158" s="10" t="s">
        <v>707</v>
      </c>
      <c r="C158" s="10" t="s">
        <v>31</v>
      </c>
      <c r="D158" s="146"/>
      <c r="E158" s="146" t="s">
        <v>194</v>
      </c>
      <c r="F158" s="19" t="s">
        <v>26</v>
      </c>
      <c r="G158" s="199" t="s">
        <v>496</v>
      </c>
      <c r="H158" s="177" t="s">
        <v>652</v>
      </c>
      <c r="J158" s="176" t="b">
        <f>EXACT(G158,'Vh5205_C-82'!G158)</f>
        <v>1</v>
      </c>
    </row>
    <row r="159" spans="1:10" s="7" customFormat="1" x14ac:dyDescent="0.35">
      <c r="A159" s="90">
        <v>155</v>
      </c>
      <c r="B159" s="10" t="s">
        <v>707</v>
      </c>
      <c r="C159" s="10" t="s">
        <v>32</v>
      </c>
      <c r="D159" s="146"/>
      <c r="E159" s="146" t="s">
        <v>586</v>
      </c>
      <c r="F159" s="19" t="s">
        <v>26</v>
      </c>
      <c r="G159" s="198" t="s">
        <v>497</v>
      </c>
      <c r="H159" s="177" t="s">
        <v>652</v>
      </c>
      <c r="J159" s="176" t="b">
        <f>EXACT(G159,'Vh5205_C-82'!G159)</f>
        <v>1</v>
      </c>
    </row>
    <row r="160" spans="1:10" s="7" customFormat="1" x14ac:dyDescent="0.35">
      <c r="A160" s="90">
        <v>156</v>
      </c>
      <c r="B160" s="10" t="s">
        <v>707</v>
      </c>
      <c r="C160" s="10" t="s">
        <v>291</v>
      </c>
      <c r="D160" s="146"/>
      <c r="E160" s="146" t="s">
        <v>2</v>
      </c>
      <c r="F160" s="19" t="s">
        <v>26</v>
      </c>
      <c r="G160" s="192">
        <v>25</v>
      </c>
      <c r="H160" s="177" t="s">
        <v>652</v>
      </c>
      <c r="J160" s="176" t="b">
        <f>EXACT(G160,'Vh5205_C-82'!G160)</f>
        <v>1</v>
      </c>
    </row>
    <row r="161" spans="1:10" s="7" customFormat="1" x14ac:dyDescent="0.35">
      <c r="A161" s="90">
        <v>157</v>
      </c>
      <c r="B161" s="146" t="s">
        <v>707</v>
      </c>
      <c r="C161" s="146" t="s">
        <v>293</v>
      </c>
      <c r="D161" s="146"/>
      <c r="E161" s="146"/>
      <c r="F161" s="20" t="s">
        <v>26</v>
      </c>
      <c r="G161" s="192" t="s">
        <v>196</v>
      </c>
      <c r="H161" s="177" t="s">
        <v>652</v>
      </c>
      <c r="J161" s="176" t="b">
        <f>EXACT(G161,'Vh5205_C-82'!G161)</f>
        <v>1</v>
      </c>
    </row>
    <row r="162" spans="1:10" s="7" customFormat="1" x14ac:dyDescent="0.35">
      <c r="A162" s="90">
        <v>158</v>
      </c>
      <c r="B162" s="104" t="s">
        <v>707</v>
      </c>
      <c r="C162" s="104" t="s">
        <v>161</v>
      </c>
      <c r="D162" s="104"/>
      <c r="E162" s="104"/>
      <c r="F162" s="20" t="s">
        <v>79</v>
      </c>
      <c r="G162" s="161" t="s">
        <v>539</v>
      </c>
      <c r="H162" s="177" t="s">
        <v>652</v>
      </c>
      <c r="J162" s="176" t="b">
        <f>EXACT(G162,'Vh5205_C-82'!G162)</f>
        <v>1</v>
      </c>
    </row>
    <row r="163" spans="1:10" x14ac:dyDescent="0.35">
      <c r="A163" s="90">
        <v>159</v>
      </c>
      <c r="B163" s="104" t="s">
        <v>707</v>
      </c>
      <c r="C163" s="104" t="s">
        <v>358</v>
      </c>
      <c r="D163" s="104"/>
      <c r="E163" s="104"/>
      <c r="F163" s="20" t="s">
        <v>26</v>
      </c>
      <c r="G163" s="195">
        <v>44735</v>
      </c>
      <c r="H163" s="140"/>
      <c r="J163" s="2" t="b">
        <f>EXACT(G163,'Vh5205_C-82'!G163)</f>
        <v>1</v>
      </c>
    </row>
    <row r="164" spans="1:10" x14ac:dyDescent="0.35">
      <c r="A164" s="90">
        <v>160</v>
      </c>
      <c r="B164" s="104" t="s">
        <v>707</v>
      </c>
      <c r="C164" s="104" t="s">
        <v>271</v>
      </c>
      <c r="D164" s="104"/>
      <c r="E164" s="104"/>
      <c r="F164" s="20" t="s">
        <v>26</v>
      </c>
      <c r="G164" s="161" t="s">
        <v>492</v>
      </c>
      <c r="H164" s="177" t="s">
        <v>652</v>
      </c>
      <c r="J164" s="176" t="b">
        <f>EXACT(G164,'Vh5205_C-82'!G164)</f>
        <v>1</v>
      </c>
    </row>
    <row r="165" spans="1:10" s="7" customFormat="1" x14ac:dyDescent="0.35">
      <c r="A165" s="90">
        <v>161</v>
      </c>
      <c r="B165" s="146" t="s">
        <v>707</v>
      </c>
      <c r="C165" s="146" t="s">
        <v>119</v>
      </c>
      <c r="D165" s="146"/>
      <c r="E165" s="146"/>
      <c r="F165" s="20" t="s">
        <v>26</v>
      </c>
      <c r="G165" s="161">
        <v>1</v>
      </c>
      <c r="H165" s="177" t="s">
        <v>652</v>
      </c>
      <c r="J165" s="176" t="b">
        <f>EXACT(G165,'Vh5205_C-82'!G165)</f>
        <v>1</v>
      </c>
    </row>
    <row r="166" spans="1:10" s="7" customFormat="1" x14ac:dyDescent="0.35">
      <c r="A166" s="90">
        <v>162</v>
      </c>
      <c r="B166" s="146" t="s">
        <v>707</v>
      </c>
      <c r="C166" s="146" t="s">
        <v>145</v>
      </c>
      <c r="D166" s="146"/>
      <c r="E166" s="10" t="s">
        <v>171</v>
      </c>
      <c r="F166" s="20" t="s">
        <v>26</v>
      </c>
      <c r="G166" s="161" t="s">
        <v>543</v>
      </c>
      <c r="H166" s="177" t="s">
        <v>652</v>
      </c>
      <c r="J166" s="176" t="b">
        <f>EXACT(G166,'Vh5205_C-82'!G166)</f>
        <v>1</v>
      </c>
    </row>
    <row r="167" spans="1:10" s="7" customFormat="1" x14ac:dyDescent="0.35">
      <c r="A167" s="90">
        <v>163</v>
      </c>
      <c r="B167" s="87" t="s">
        <v>707</v>
      </c>
      <c r="C167" s="87" t="s">
        <v>120</v>
      </c>
      <c r="D167" s="87"/>
      <c r="E167" s="87"/>
      <c r="F167" s="21" t="s">
        <v>26</v>
      </c>
      <c r="G167" s="194" t="s">
        <v>276</v>
      </c>
      <c r="H167" s="180" t="s">
        <v>652</v>
      </c>
      <c r="J167" s="176" t="b">
        <f>EXACT(G167,'Vh5205_C-82'!G167)</f>
        <v>1</v>
      </c>
    </row>
    <row r="168" spans="1:10" s="7" customFormat="1" x14ac:dyDescent="0.35">
      <c r="A168" s="90"/>
      <c r="B168" s="10" t="s">
        <v>708</v>
      </c>
      <c r="C168" s="10"/>
      <c r="D168" s="146"/>
      <c r="E168" s="146"/>
      <c r="F168" s="20"/>
      <c r="G168" s="208"/>
      <c r="H168" s="180"/>
      <c r="J168" s="1" t="b">
        <f>EXACT(G168,'Vh5205_C-82'!G168)</f>
        <v>1</v>
      </c>
    </row>
    <row r="169" spans="1:10" s="7" customFormat="1" ht="46.5" x14ac:dyDescent="0.35">
      <c r="A169" s="90">
        <v>164</v>
      </c>
      <c r="B169" s="102" t="s">
        <v>709</v>
      </c>
      <c r="C169" s="102" t="s">
        <v>588</v>
      </c>
      <c r="D169" s="100"/>
      <c r="E169" s="100"/>
      <c r="F169" s="18" t="s">
        <v>26</v>
      </c>
      <c r="G169" s="197" t="s">
        <v>657</v>
      </c>
      <c r="H169" s="177" t="s">
        <v>652</v>
      </c>
      <c r="J169" s="176" t="b">
        <f>EXACT(G169,'Vh5205_C-82'!G169)</f>
        <v>1</v>
      </c>
    </row>
    <row r="170" spans="1:10" s="7" customFormat="1" ht="31" x14ac:dyDescent="0.35">
      <c r="A170" s="90">
        <v>165</v>
      </c>
      <c r="B170" s="10" t="s">
        <v>709</v>
      </c>
      <c r="C170" s="10" t="s">
        <v>589</v>
      </c>
      <c r="D170" s="146"/>
      <c r="E170" s="146"/>
      <c r="F170" s="23" t="s">
        <v>26</v>
      </c>
      <c r="G170" s="161" t="s">
        <v>622</v>
      </c>
      <c r="H170" s="177" t="s">
        <v>652</v>
      </c>
      <c r="J170" s="176" t="b">
        <f>EXACT(G170,'Vh5205_C-82'!G170)</f>
        <v>1</v>
      </c>
    </row>
    <row r="171" spans="1:10" s="7" customFormat="1" ht="17.5" x14ac:dyDescent="0.35">
      <c r="A171" s="90">
        <v>166</v>
      </c>
      <c r="B171" s="10" t="s">
        <v>709</v>
      </c>
      <c r="C171" s="10" t="s">
        <v>498</v>
      </c>
      <c r="D171" s="146"/>
      <c r="E171" s="146"/>
      <c r="F171" s="23" t="s">
        <v>26</v>
      </c>
      <c r="G171" s="161" t="s">
        <v>658</v>
      </c>
      <c r="H171" s="177" t="s">
        <v>652</v>
      </c>
      <c r="J171" s="176" t="b">
        <f>EXACT(G171,'Vh5205_C-82'!G171)</f>
        <v>1</v>
      </c>
    </row>
    <row r="172" spans="1:10" s="7" customFormat="1" x14ac:dyDescent="0.35">
      <c r="A172" s="90">
        <v>167</v>
      </c>
      <c r="B172" s="10" t="s">
        <v>709</v>
      </c>
      <c r="C172" s="10" t="s">
        <v>313</v>
      </c>
      <c r="D172" s="146"/>
      <c r="E172" s="146"/>
      <c r="F172" s="19" t="s">
        <v>26</v>
      </c>
      <c r="G172" s="192" t="s">
        <v>48</v>
      </c>
      <c r="H172" s="177" t="s">
        <v>652</v>
      </c>
      <c r="J172" s="176" t="b">
        <f>EXACT(G172,'Vh5205_C-82'!G172)</f>
        <v>1</v>
      </c>
    </row>
    <row r="173" spans="1:10" s="7" customFormat="1" x14ac:dyDescent="0.35">
      <c r="A173" s="90">
        <v>168</v>
      </c>
      <c r="B173" s="146" t="s">
        <v>709</v>
      </c>
      <c r="C173" s="146" t="s">
        <v>306</v>
      </c>
      <c r="D173" s="146"/>
      <c r="E173" s="146"/>
      <c r="F173" s="19" t="s">
        <v>26</v>
      </c>
      <c r="G173" s="192" t="s">
        <v>524</v>
      </c>
      <c r="H173" s="177" t="s">
        <v>652</v>
      </c>
      <c r="J173" s="176" t="b">
        <f>EXACT(G173,'Vh5205_C-82'!G173)</f>
        <v>1</v>
      </c>
    </row>
    <row r="174" spans="1:10" s="7" customFormat="1" x14ac:dyDescent="0.35">
      <c r="A174" s="90">
        <v>169</v>
      </c>
      <c r="B174" s="87" t="s">
        <v>709</v>
      </c>
      <c r="C174" s="87" t="s">
        <v>307</v>
      </c>
      <c r="D174" s="87"/>
      <c r="E174" s="87"/>
      <c r="F174" s="22" t="s">
        <v>79</v>
      </c>
      <c r="G174" s="196"/>
      <c r="H174" s="180"/>
      <c r="J174" s="1" t="b">
        <f>EXACT(G174,'Vh5205_C-82'!G174)</f>
        <v>1</v>
      </c>
    </row>
    <row r="175" spans="1:10" s="7" customFormat="1" x14ac:dyDescent="0.35">
      <c r="A175" s="90">
        <v>170</v>
      </c>
      <c r="B175" s="146" t="s">
        <v>710</v>
      </c>
      <c r="C175" s="146" t="s">
        <v>10</v>
      </c>
      <c r="D175" s="146" t="s">
        <v>146</v>
      </c>
      <c r="E175" s="146" t="s">
        <v>2</v>
      </c>
      <c r="F175" s="19" t="s">
        <v>26</v>
      </c>
      <c r="G175" s="209">
        <v>6</v>
      </c>
      <c r="H175" s="177"/>
      <c r="J175" s="1" t="b">
        <f>EXACT(G175,'Vh5205_C-82'!G175)</f>
        <v>1</v>
      </c>
    </row>
    <row r="176" spans="1:10" s="7" customFormat="1" ht="17.5" x14ac:dyDescent="0.35">
      <c r="A176" s="90">
        <v>171</v>
      </c>
      <c r="B176" s="146" t="s">
        <v>710</v>
      </c>
      <c r="C176" s="146" t="s">
        <v>11</v>
      </c>
      <c r="D176" s="146" t="s">
        <v>591</v>
      </c>
      <c r="E176" s="146" t="s">
        <v>2</v>
      </c>
      <c r="F176" s="19" t="s">
        <v>26</v>
      </c>
      <c r="G176" s="210">
        <v>23.8</v>
      </c>
      <c r="H176" s="177"/>
      <c r="J176" s="1" t="b">
        <f>EXACT(G176,'Vh5205_C-82'!G176)</f>
        <v>1</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EXACT(G177,'Vh5205_C-82'!G177)</f>
        <v>1</v>
      </c>
    </row>
    <row r="178" spans="1:10" s="7" customFormat="1" x14ac:dyDescent="0.35">
      <c r="A178" s="90">
        <v>173</v>
      </c>
      <c r="B178" s="10" t="s">
        <v>710</v>
      </c>
      <c r="C178" s="10" t="s">
        <v>28</v>
      </c>
      <c r="D178" s="146" t="s">
        <v>593</v>
      </c>
      <c r="E178" s="146" t="s">
        <v>2</v>
      </c>
      <c r="F178" s="19" t="s">
        <v>26</v>
      </c>
      <c r="G178" s="211">
        <v>22.6</v>
      </c>
      <c r="H178" s="177"/>
      <c r="J178" s="1" t="b">
        <f>EXACT(G178,'Vh5205_C-82'!G178)</f>
        <v>0</v>
      </c>
    </row>
    <row r="179" spans="1:10" s="7" customFormat="1" ht="17.5" x14ac:dyDescent="0.35">
      <c r="A179" s="90">
        <v>174</v>
      </c>
      <c r="B179" s="10" t="s">
        <v>710</v>
      </c>
      <c r="C179" s="10" t="s">
        <v>29</v>
      </c>
      <c r="D179" s="10" t="s">
        <v>440</v>
      </c>
      <c r="E179" s="146" t="s">
        <v>2</v>
      </c>
      <c r="F179" s="19" t="s">
        <v>26</v>
      </c>
      <c r="G179" s="210">
        <v>23.8</v>
      </c>
      <c r="H179" s="177"/>
      <c r="J179" s="1" t="b">
        <f>EXACT(G179,'Vh5205_C-82'!G179)</f>
        <v>1</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EXACT(G180,'Vh5205_C-82'!G180)</f>
        <v>1</v>
      </c>
    </row>
    <row r="181" spans="1:10" s="7" customFormat="1" ht="17.5" x14ac:dyDescent="0.35">
      <c r="A181" s="90">
        <v>176</v>
      </c>
      <c r="B181" s="10" t="s">
        <v>710</v>
      </c>
      <c r="C181" s="10" t="s">
        <v>30</v>
      </c>
      <c r="D181" s="10" t="s">
        <v>443</v>
      </c>
      <c r="E181" s="146" t="s">
        <v>2</v>
      </c>
      <c r="F181" s="19" t="s">
        <v>26</v>
      </c>
      <c r="G181" s="211">
        <v>22.6</v>
      </c>
      <c r="H181" s="177"/>
      <c r="J181" s="1" t="b">
        <f>EXACT(G181,'Vh5205_C-82'!G181)</f>
        <v>0</v>
      </c>
    </row>
    <row r="182" spans="1:10" s="7" customFormat="1" x14ac:dyDescent="0.35">
      <c r="A182" s="90">
        <v>177</v>
      </c>
      <c r="B182" s="146" t="s">
        <v>710</v>
      </c>
      <c r="C182" s="146" t="s">
        <v>444</v>
      </c>
      <c r="D182" s="10" t="s">
        <v>445</v>
      </c>
      <c r="E182" s="146" t="s">
        <v>2</v>
      </c>
      <c r="F182" s="19" t="s">
        <v>26</v>
      </c>
      <c r="G182" s="211">
        <v>4</v>
      </c>
      <c r="H182" s="177"/>
      <c r="J182" s="1" t="b">
        <f>EXACT(G182,'Vh5205_C-82'!G182)</f>
        <v>1</v>
      </c>
    </row>
    <row r="183" spans="1:10" s="7" customFormat="1" ht="17.5" x14ac:dyDescent="0.35">
      <c r="A183" s="90">
        <v>178</v>
      </c>
      <c r="B183" s="146" t="s">
        <v>710</v>
      </c>
      <c r="C183" s="146" t="s">
        <v>446</v>
      </c>
      <c r="D183" s="10" t="s">
        <v>447</v>
      </c>
      <c r="E183" s="146" t="s">
        <v>2</v>
      </c>
      <c r="F183" s="19" t="s">
        <v>26</v>
      </c>
      <c r="G183" s="203">
        <v>4.4800000000000004</v>
      </c>
      <c r="H183" s="177"/>
      <c r="J183" s="1" t="b">
        <f>EXACT(G183,'Vh5205_C-82'!G183)</f>
        <v>1</v>
      </c>
    </row>
    <row r="184" spans="1:10" s="7" customFormat="1" x14ac:dyDescent="0.35">
      <c r="A184" s="90">
        <v>179</v>
      </c>
      <c r="B184" s="146" t="s">
        <v>710</v>
      </c>
      <c r="C184" s="146" t="s">
        <v>448</v>
      </c>
      <c r="D184" s="10" t="s">
        <v>449</v>
      </c>
      <c r="E184" s="146" t="s">
        <v>2</v>
      </c>
      <c r="F184" s="19" t="s">
        <v>26</v>
      </c>
      <c r="G184" s="192" t="s">
        <v>524</v>
      </c>
      <c r="H184" s="177" t="s">
        <v>652</v>
      </c>
      <c r="J184" s="176" t="b">
        <f>EXACT(G184,'Vh5205_C-82'!G184)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EXACT(G185,'Vh5205_C-82'!G185)</f>
        <v>1</v>
      </c>
    </row>
    <row r="186" spans="1:10" s="7" customFormat="1" x14ac:dyDescent="0.35">
      <c r="A186" s="90">
        <v>181</v>
      </c>
      <c r="B186" s="146" t="s">
        <v>710</v>
      </c>
      <c r="C186" s="146" t="s">
        <v>452</v>
      </c>
      <c r="D186" s="10" t="s">
        <v>453</v>
      </c>
      <c r="E186" s="146" t="s">
        <v>2</v>
      </c>
      <c r="F186" s="19" t="s">
        <v>26</v>
      </c>
      <c r="G186" s="211">
        <v>3.8</v>
      </c>
      <c r="H186" s="177"/>
      <c r="J186" s="1" t="b">
        <f>EXACT(G186,'Vh5205_C-82'!G186)</f>
        <v>1</v>
      </c>
    </row>
    <row r="187" spans="1:10" s="7" customFormat="1" ht="17.5" x14ac:dyDescent="0.35">
      <c r="A187" s="90">
        <v>182</v>
      </c>
      <c r="B187" s="87" t="s">
        <v>710</v>
      </c>
      <c r="C187" s="87" t="s">
        <v>454</v>
      </c>
      <c r="D187" s="13" t="s">
        <v>455</v>
      </c>
      <c r="E187" s="87" t="s">
        <v>2</v>
      </c>
      <c r="F187" s="22" t="s">
        <v>26</v>
      </c>
      <c r="G187" s="212">
        <v>4.25</v>
      </c>
      <c r="H187" s="180"/>
      <c r="J187" s="1" t="b">
        <f>EXACT(G187,'Vh5205_C-82'!G187)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EXACT(G188,'Vh5205_C-82'!G188)</f>
        <v>1</v>
      </c>
    </row>
    <row r="189" spans="1:10" s="7" customFormat="1" x14ac:dyDescent="0.35">
      <c r="A189" s="90">
        <v>184</v>
      </c>
      <c r="B189" s="10" t="s">
        <v>711</v>
      </c>
      <c r="C189" s="10" t="s">
        <v>47</v>
      </c>
      <c r="D189" s="106" t="s">
        <v>597</v>
      </c>
      <c r="E189" s="146" t="s">
        <v>2</v>
      </c>
      <c r="F189" s="19" t="s">
        <v>79</v>
      </c>
      <c r="G189" s="161"/>
      <c r="H189" s="177"/>
      <c r="J189" s="1" t="b">
        <f>EXACT(G189,'Vh5205_C-82'!G189)</f>
        <v>1</v>
      </c>
    </row>
    <row r="190" spans="1:10" s="7" customFormat="1" ht="17.5" x14ac:dyDescent="0.35">
      <c r="A190" s="90">
        <v>185</v>
      </c>
      <c r="B190" s="10" t="s">
        <v>711</v>
      </c>
      <c r="C190" s="10" t="s">
        <v>175</v>
      </c>
      <c r="D190" s="106" t="s">
        <v>598</v>
      </c>
      <c r="E190" s="146" t="s">
        <v>2</v>
      </c>
      <c r="F190" s="19" t="s">
        <v>79</v>
      </c>
      <c r="G190" s="161"/>
      <c r="H190" s="177"/>
      <c r="J190" s="1" t="b">
        <f>EXACT(G190,'Vh5205_C-82'!G190)</f>
        <v>1</v>
      </c>
    </row>
    <row r="191" spans="1:10" s="7" customFormat="1" x14ac:dyDescent="0.35">
      <c r="A191" s="90">
        <v>186</v>
      </c>
      <c r="B191" s="146" t="s">
        <v>711</v>
      </c>
      <c r="C191" s="146" t="s">
        <v>12</v>
      </c>
      <c r="D191" s="146"/>
      <c r="E191" s="146" t="s">
        <v>5</v>
      </c>
      <c r="F191" s="19" t="s">
        <v>26</v>
      </c>
      <c r="G191" s="161">
        <v>2.02</v>
      </c>
      <c r="H191" s="177"/>
      <c r="J191" s="1" t="b">
        <f>EXACT(G191,'Vh5205_C-82'!G191)</f>
        <v>0</v>
      </c>
    </row>
    <row r="192" spans="1:10" s="7" customFormat="1" x14ac:dyDescent="0.35">
      <c r="A192" s="90">
        <v>187</v>
      </c>
      <c r="B192" s="146" t="s">
        <v>711</v>
      </c>
      <c r="C192" s="146" t="s">
        <v>53</v>
      </c>
      <c r="D192" s="146"/>
      <c r="E192" s="146" t="s">
        <v>5</v>
      </c>
      <c r="F192" s="19" t="s">
        <v>26</v>
      </c>
      <c r="G192" s="161">
        <v>2.13</v>
      </c>
      <c r="H192" s="177"/>
      <c r="J192" s="1" t="b">
        <f>EXACT(G192,'Vh5205_C-82'!G192)</f>
        <v>0</v>
      </c>
    </row>
    <row r="193" spans="1:10" s="7" customFormat="1" x14ac:dyDescent="0.35">
      <c r="A193" s="90">
        <v>188</v>
      </c>
      <c r="B193" s="146" t="s">
        <v>711</v>
      </c>
      <c r="C193" s="146" t="s">
        <v>8</v>
      </c>
      <c r="D193" s="146" t="s">
        <v>36</v>
      </c>
      <c r="E193" s="146" t="s">
        <v>5</v>
      </c>
      <c r="F193" s="22" t="s">
        <v>26</v>
      </c>
      <c r="G193" s="213">
        <v>161</v>
      </c>
      <c r="H193" s="180"/>
      <c r="J193" s="1" t="b">
        <f>EXACT(G193,'Vh5205_C-82'!G193)</f>
        <v>0</v>
      </c>
    </row>
    <row r="194" spans="1:10" s="7" customFormat="1" ht="17.5" x14ac:dyDescent="0.35">
      <c r="A194" s="90">
        <v>189</v>
      </c>
      <c r="B194" s="100" t="s">
        <v>712</v>
      </c>
      <c r="C194" s="100" t="s">
        <v>118</v>
      </c>
      <c r="D194" s="100" t="s">
        <v>599</v>
      </c>
      <c r="E194" s="100" t="s">
        <v>5</v>
      </c>
      <c r="F194" s="19" t="s">
        <v>26</v>
      </c>
      <c r="G194" s="214">
        <v>161</v>
      </c>
      <c r="H194" s="177"/>
      <c r="J194" s="1" t="b">
        <f>EXACT(G194,'Vh5205_C-82'!G194)</f>
        <v>0</v>
      </c>
    </row>
    <row r="195" spans="1:10" s="7" customFormat="1" x14ac:dyDescent="0.35">
      <c r="A195" s="90">
        <v>190</v>
      </c>
      <c r="B195" s="10" t="s">
        <v>712</v>
      </c>
      <c r="C195" s="10" t="s">
        <v>176</v>
      </c>
      <c r="D195" s="146"/>
      <c r="E195" s="146"/>
      <c r="F195" s="19" t="s">
        <v>26</v>
      </c>
      <c r="G195" s="161" t="s">
        <v>533</v>
      </c>
      <c r="H195" s="177"/>
      <c r="J195" s="1" t="b">
        <f>EXACT(G195,'Vh5205_C-82'!G195)</f>
        <v>1</v>
      </c>
    </row>
    <row r="196" spans="1:10" s="7" customFormat="1" x14ac:dyDescent="0.35">
      <c r="A196" s="90">
        <v>191</v>
      </c>
      <c r="B196" s="13" t="s">
        <v>712</v>
      </c>
      <c r="C196" s="13" t="s">
        <v>38</v>
      </c>
      <c r="D196" s="87" t="s">
        <v>49</v>
      </c>
      <c r="E196" s="87" t="s">
        <v>2</v>
      </c>
      <c r="F196" s="22" t="s">
        <v>79</v>
      </c>
      <c r="G196" s="215">
        <v>30.3</v>
      </c>
      <c r="H196" s="180"/>
      <c r="J196" s="1" t="b">
        <f>EXACT(G196,'Vh5205_C-82'!G196)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EXACT(G197,'Vh5205_C-82'!G197)</f>
        <v>1</v>
      </c>
    </row>
    <row r="198" spans="1:10" s="7" customFormat="1" x14ac:dyDescent="0.35">
      <c r="A198" s="90">
        <v>193</v>
      </c>
      <c r="B198" s="10" t="s">
        <v>711</v>
      </c>
      <c r="C198" s="10" t="s">
        <v>193</v>
      </c>
      <c r="D198" s="5"/>
      <c r="E198" s="10" t="s">
        <v>0</v>
      </c>
      <c r="F198" s="19" t="s">
        <v>26</v>
      </c>
      <c r="G198" s="192" t="s">
        <v>659</v>
      </c>
      <c r="H198" s="177" t="s">
        <v>652</v>
      </c>
      <c r="J198" s="176" t="b">
        <f>EXACT(G198,'Vh5205_C-82'!G198)</f>
        <v>1</v>
      </c>
    </row>
    <row r="199" spans="1:10" s="7" customFormat="1" x14ac:dyDescent="0.35">
      <c r="A199" s="90">
        <v>194</v>
      </c>
      <c r="B199" s="146" t="s">
        <v>711</v>
      </c>
      <c r="C199" s="146" t="s">
        <v>13</v>
      </c>
      <c r="D199" s="146"/>
      <c r="E199" s="146" t="s">
        <v>6</v>
      </c>
      <c r="F199" s="19" t="s">
        <v>79</v>
      </c>
      <c r="G199" s="161"/>
      <c r="H199" s="177"/>
      <c r="J199" s="1" t="b">
        <f>EXACT(G199,'Vh5205_C-82'!G199)</f>
        <v>1</v>
      </c>
    </row>
    <row r="200" spans="1:10" s="7" customFormat="1" x14ac:dyDescent="0.35">
      <c r="A200" s="90">
        <v>195</v>
      </c>
      <c r="B200" s="146" t="s">
        <v>711</v>
      </c>
      <c r="C200" s="146" t="s">
        <v>14</v>
      </c>
      <c r="D200" s="146"/>
      <c r="E200" s="146" t="s">
        <v>6</v>
      </c>
      <c r="F200" s="19" t="s">
        <v>79</v>
      </c>
      <c r="G200" s="161"/>
      <c r="H200" s="177"/>
      <c r="J200" s="1" t="b">
        <f>EXACT(G200,'Vh5205_C-82'!G200)</f>
        <v>1</v>
      </c>
    </row>
    <row r="201" spans="1:10" s="7" customFormat="1" x14ac:dyDescent="0.35">
      <c r="A201" s="90">
        <v>196</v>
      </c>
      <c r="B201" s="146" t="s">
        <v>711</v>
      </c>
      <c r="C201" s="146" t="s">
        <v>19</v>
      </c>
      <c r="D201" s="146"/>
      <c r="E201" s="146" t="s">
        <v>113</v>
      </c>
      <c r="F201" s="19" t="s">
        <v>79</v>
      </c>
      <c r="G201" s="161"/>
      <c r="H201" s="177"/>
      <c r="J201" s="1" t="b">
        <f>EXACT(G201,'Vh5205_C-82'!G201)</f>
        <v>1</v>
      </c>
    </row>
    <row r="202" spans="1:10" s="7" customFormat="1" x14ac:dyDescent="0.35">
      <c r="A202" s="90">
        <v>197</v>
      </c>
      <c r="B202" s="146" t="s">
        <v>711</v>
      </c>
      <c r="C202" s="146" t="s">
        <v>20</v>
      </c>
      <c r="D202" s="146"/>
      <c r="E202" s="146" t="s">
        <v>113</v>
      </c>
      <c r="F202" s="19" t="s">
        <v>79</v>
      </c>
      <c r="G202" s="161"/>
      <c r="H202" s="177"/>
      <c r="J202" s="1" t="b">
        <f>EXACT(G202,'Vh5205_C-82'!G202)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EXACT(G203,'Vh5205_C-82'!G203)</f>
        <v>1</v>
      </c>
    </row>
    <row r="204" spans="1:10" s="7" customFormat="1" ht="17.5" x14ac:dyDescent="0.35">
      <c r="A204" s="90">
        <v>199</v>
      </c>
      <c r="B204" s="10" t="s">
        <v>713</v>
      </c>
      <c r="C204" s="10" t="s">
        <v>180</v>
      </c>
      <c r="D204" s="102" t="s">
        <v>181</v>
      </c>
      <c r="E204" s="100" t="s">
        <v>1</v>
      </c>
      <c r="F204" s="23" t="s">
        <v>26</v>
      </c>
      <c r="G204" s="161" t="s">
        <v>524</v>
      </c>
      <c r="H204" s="177"/>
      <c r="J204" s="1" t="b">
        <f>EXACT(G204,'Vh5205_C-82'!G204)</f>
        <v>1</v>
      </c>
    </row>
    <row r="205" spans="1:10" s="7" customFormat="1" x14ac:dyDescent="0.35">
      <c r="A205" s="90">
        <v>200</v>
      </c>
      <c r="B205" s="146" t="s">
        <v>713</v>
      </c>
      <c r="C205" s="146" t="s">
        <v>37</v>
      </c>
      <c r="D205" s="146" t="s">
        <v>50</v>
      </c>
      <c r="E205" s="146" t="s">
        <v>1</v>
      </c>
      <c r="F205" s="23" t="s">
        <v>26</v>
      </c>
      <c r="G205" s="216">
        <v>27</v>
      </c>
      <c r="H205" s="177"/>
      <c r="J205" s="1" t="b">
        <f>EXACT(G205,'Vh5205_C-82'!G205)</f>
        <v>0</v>
      </c>
    </row>
    <row r="206" spans="1:10" s="7" customFormat="1" ht="17.5" x14ac:dyDescent="0.35">
      <c r="A206" s="90">
        <v>201</v>
      </c>
      <c r="B206" s="87" t="s">
        <v>713</v>
      </c>
      <c r="C206" s="87" t="s">
        <v>610</v>
      </c>
      <c r="D206" s="13" t="s">
        <v>182</v>
      </c>
      <c r="E206" s="103" t="s">
        <v>1</v>
      </c>
      <c r="F206" s="24" t="s">
        <v>26</v>
      </c>
      <c r="G206" s="217">
        <v>57</v>
      </c>
      <c r="H206" s="180"/>
      <c r="J206" s="1" t="b">
        <f>EXACT(G206,'Vh5205_C-82'!G206)</f>
        <v>0</v>
      </c>
    </row>
    <row r="207" spans="1:10" s="7" customFormat="1" x14ac:dyDescent="0.35">
      <c r="A207" s="90">
        <v>202</v>
      </c>
      <c r="B207" s="5" t="s">
        <v>714</v>
      </c>
      <c r="C207" s="5" t="s">
        <v>392</v>
      </c>
      <c r="D207" s="146"/>
      <c r="E207" s="146"/>
      <c r="F207" s="23" t="s">
        <v>26</v>
      </c>
      <c r="G207" s="161" t="s">
        <v>524</v>
      </c>
      <c r="H207" s="177" t="s">
        <v>652</v>
      </c>
      <c r="J207" s="176" t="b">
        <f>EXACT(G207,'Vh5205_C-82'!G207)</f>
        <v>1</v>
      </c>
    </row>
    <row r="208" spans="1:10" s="7" customFormat="1" x14ac:dyDescent="0.35">
      <c r="A208" s="90">
        <v>203</v>
      </c>
      <c r="B208" s="146" t="s">
        <v>714</v>
      </c>
      <c r="C208" s="146" t="s">
        <v>25</v>
      </c>
      <c r="D208" s="146" t="s">
        <v>601</v>
      </c>
      <c r="E208" s="146" t="s">
        <v>1</v>
      </c>
      <c r="F208" s="19" t="s">
        <v>26</v>
      </c>
      <c r="G208" s="218">
        <v>28</v>
      </c>
      <c r="H208" s="177"/>
      <c r="J208" s="1" t="b">
        <f>EXACT(G208,'Vh5205_C-82'!G208)</f>
        <v>0</v>
      </c>
    </row>
    <row r="209" spans="1:10" s="7" customFormat="1" x14ac:dyDescent="0.35">
      <c r="A209" s="90">
        <v>204</v>
      </c>
      <c r="B209" s="146" t="s">
        <v>714</v>
      </c>
      <c r="C209" s="146" t="s">
        <v>33</v>
      </c>
      <c r="D209" s="146" t="s">
        <v>602</v>
      </c>
      <c r="E209" s="146" t="s">
        <v>1</v>
      </c>
      <c r="F209" s="19" t="s">
        <v>26</v>
      </c>
      <c r="G209" s="219">
        <v>0.25600000000000001</v>
      </c>
      <c r="H209" s="177"/>
      <c r="J209" s="1" t="b">
        <f>EXACT(G209,'Vh5205_C-82'!G209)</f>
        <v>0</v>
      </c>
    </row>
    <row r="210" spans="1:10" s="7" customFormat="1" ht="17.5" x14ac:dyDescent="0.35">
      <c r="A210" s="90">
        <v>205</v>
      </c>
      <c r="B210" s="146" t="s">
        <v>714</v>
      </c>
      <c r="C210" s="146" t="s">
        <v>27</v>
      </c>
      <c r="D210" s="146" t="s">
        <v>603</v>
      </c>
      <c r="E210" s="146" t="s">
        <v>1</v>
      </c>
      <c r="F210" s="19" t="s">
        <v>26</v>
      </c>
      <c r="G210" s="219">
        <v>0.24199999999999999</v>
      </c>
      <c r="H210" s="177"/>
      <c r="J210" s="1" t="b">
        <f>EXACT(G210,'Vh5205_C-82'!G210)</f>
        <v>1</v>
      </c>
    </row>
    <row r="211" spans="1:10" s="7" customFormat="1" x14ac:dyDescent="0.35">
      <c r="A211" s="90">
        <v>206</v>
      </c>
      <c r="B211" s="146" t="s">
        <v>714</v>
      </c>
      <c r="C211" s="146" t="s">
        <v>34</v>
      </c>
      <c r="D211" s="146" t="s">
        <v>604</v>
      </c>
      <c r="E211" s="146" t="s">
        <v>1</v>
      </c>
      <c r="F211" s="19" t="s">
        <v>26</v>
      </c>
      <c r="G211" s="216">
        <v>1.2999999999999999E-2</v>
      </c>
      <c r="H211" s="177"/>
      <c r="J211" s="1" t="b">
        <f>EXACT(G211,'Vh5205_C-82'!G211)</f>
        <v>0</v>
      </c>
    </row>
    <row r="212" spans="1:10" s="7" customFormat="1" x14ac:dyDescent="0.35">
      <c r="A212" s="90">
        <v>207</v>
      </c>
      <c r="B212" s="146" t="s">
        <v>714</v>
      </c>
      <c r="C212" s="146" t="s">
        <v>24</v>
      </c>
      <c r="D212" s="146" t="s">
        <v>605</v>
      </c>
      <c r="E212" s="146" t="s">
        <v>1</v>
      </c>
      <c r="F212" s="19" t="s">
        <v>26</v>
      </c>
      <c r="G212" s="219">
        <v>27.8</v>
      </c>
      <c r="H212" s="177"/>
      <c r="J212" s="1" t="b">
        <f>EXACT(G212,'Vh5205_C-82'!G212)</f>
        <v>0</v>
      </c>
    </row>
    <row r="213" spans="1:10" s="7" customFormat="1" ht="17.5" x14ac:dyDescent="0.35">
      <c r="A213" s="123">
        <v>208</v>
      </c>
      <c r="B213" s="87" t="s">
        <v>714</v>
      </c>
      <c r="C213" s="87" t="s">
        <v>23</v>
      </c>
      <c r="D213" s="87" t="s">
        <v>606</v>
      </c>
      <c r="E213" s="87" t="s">
        <v>1</v>
      </c>
      <c r="F213" s="22" t="s">
        <v>26</v>
      </c>
      <c r="G213" s="220">
        <v>27.7</v>
      </c>
      <c r="H213" s="180"/>
      <c r="J213" s="1" t="b">
        <f>EXACT(G213,'Vh5205_C-82'!G213)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491" priority="435" operator="equal">
      <formula>"Mandatory"</formula>
    </cfRule>
  </conditionalFormatting>
  <conditionalFormatting sqref="F4:F213">
    <cfRule type="cellIs" dxfId="490" priority="433" operator="equal">
      <formula>"Recommended"</formula>
    </cfRule>
    <cfRule type="cellIs" dxfId="489" priority="434" operator="equal">
      <formula>"Optional"</formula>
    </cfRule>
  </conditionalFormatting>
  <conditionalFormatting sqref="F4:F213">
    <cfRule type="cellIs" dxfId="488" priority="432" operator="equal">
      <formula>"Undecided"</formula>
    </cfRule>
  </conditionalFormatting>
  <conditionalFormatting sqref="G227:G232">
    <cfRule type="cellIs" dxfId="487" priority="266" operator="notEqual">
      <formula>0</formula>
    </cfRule>
  </conditionalFormatting>
  <conditionalFormatting sqref="J4:J213">
    <cfRule type="cellIs" dxfId="486" priority="93" operator="equal">
      <formula>FALSE</formula>
    </cfRule>
    <cfRule type="cellIs" dxfId="485" priority="94" operator="equal">
      <formula>"""FALSE"""</formula>
    </cfRule>
    <cfRule type="cellIs" dxfId="484" priority="95" operator="equal">
      <formula>"""FALSE"""</formula>
    </cfRule>
  </conditionalFormatting>
  <conditionalFormatting sqref="H124:H130">
    <cfRule type="cellIs" dxfId="483" priority="89" operator="equal">
      <formula>"Mandatory"</formula>
    </cfRule>
  </conditionalFormatting>
  <conditionalFormatting sqref="H124:H130">
    <cfRule type="cellIs" dxfId="482" priority="87" operator="equal">
      <formula>"Recommended"</formula>
    </cfRule>
    <cfRule type="cellIs" dxfId="481" priority="88" operator="equal">
      <formula>"Optional"</formula>
    </cfRule>
  </conditionalFormatting>
  <conditionalFormatting sqref="H124:H130">
    <cfRule type="cellIs" dxfId="480" priority="86" operator="equal">
      <formula>"Undecided"</formula>
    </cfRule>
  </conditionalFormatting>
  <conditionalFormatting sqref="G15 G177 G180 G184:G185 G188 G197:G198 G20 G44 G34:G38 G51:G53 G68 G57:G60 G83:G85 G141 G203 G212:G213 G40">
    <cfRule type="cellIs" dxfId="479" priority="85" operator="equal">
      <formula>"Mandatory"</formula>
    </cfRule>
  </conditionalFormatting>
  <conditionalFormatting sqref="G15 G177 G180 G184:G185 G188 G197:G198 G20 G44 G34:G38 G51:G53 G68 G57:G60 G83:G85 G141 G203 G212:G213 G40">
    <cfRule type="cellIs" dxfId="478" priority="83" operator="equal">
      <formula>"Not Mandatory"</formula>
    </cfRule>
    <cfRule type="cellIs" dxfId="477" priority="84" operator="equal">
      <formula>"Recommended"</formula>
    </cfRule>
  </conditionalFormatting>
  <conditionalFormatting sqref="G44 G37:G38 G52:G53 G57:G60 G85 G40">
    <cfRule type="cellIs" dxfId="476" priority="81" operator="equal">
      <formula>"Not Mandatory"</formula>
    </cfRule>
    <cfRule type="cellIs" dxfId="475" priority="82" operator="equal">
      <formula>"Recommended"</formula>
    </cfRule>
  </conditionalFormatting>
  <conditionalFormatting sqref="G44 G37:G38 G52:G53 G57:G60 G85 G40">
    <cfRule type="cellIs" dxfId="474" priority="79" operator="equal">
      <formula>"Not Mandatory"</formula>
    </cfRule>
    <cfRule type="cellIs" dxfId="473" priority="80" operator="equal">
      <formula>"Recommended"</formula>
    </cfRule>
  </conditionalFormatting>
  <conditionalFormatting sqref="G48:G49">
    <cfRule type="cellIs" dxfId="472" priority="78" operator="equal">
      <formula>"Mandatory"</formula>
    </cfRule>
  </conditionalFormatting>
  <conditionalFormatting sqref="G48:G49">
    <cfRule type="cellIs" dxfId="471" priority="76" operator="equal">
      <formula>"Not Mandatory"</formula>
    </cfRule>
    <cfRule type="cellIs" dxfId="470" priority="77" operator="equal">
      <formula>"Recommended"</formula>
    </cfRule>
  </conditionalFormatting>
  <conditionalFormatting sqref="G48:G49">
    <cfRule type="cellIs" dxfId="469" priority="74" operator="equal">
      <formula>"Not Mandatory"</formula>
    </cfRule>
    <cfRule type="cellIs" dxfId="468" priority="75" operator="equal">
      <formula>"Recommended"</formula>
    </cfRule>
  </conditionalFormatting>
  <conditionalFormatting sqref="G48:G49">
    <cfRule type="cellIs" dxfId="467" priority="72" operator="equal">
      <formula>"Not Mandatory"</formula>
    </cfRule>
    <cfRule type="cellIs" dxfId="466" priority="73" operator="equal">
      <formula>"Recommended"</formula>
    </cfRule>
  </conditionalFormatting>
  <conditionalFormatting sqref="G69">
    <cfRule type="cellIs" dxfId="465" priority="71" operator="equal">
      <formula>"Mandatory"</formula>
    </cfRule>
  </conditionalFormatting>
  <conditionalFormatting sqref="G69">
    <cfRule type="cellIs" dxfId="464" priority="69" operator="equal">
      <formula>"Not Mandatory"</formula>
    </cfRule>
    <cfRule type="cellIs" dxfId="463" priority="70" operator="equal">
      <formula>"Recommended"</formula>
    </cfRule>
  </conditionalFormatting>
  <conditionalFormatting sqref="G86">
    <cfRule type="cellIs" dxfId="462" priority="68" operator="equal">
      <formula>"Mandatory"</formula>
    </cfRule>
  </conditionalFormatting>
  <conditionalFormatting sqref="G86">
    <cfRule type="cellIs" dxfId="461" priority="66" operator="equal">
      <formula>"Not Mandatory"</formula>
    </cfRule>
    <cfRule type="cellIs" dxfId="460" priority="67" operator="equal">
      <formula>"Recommended"</formula>
    </cfRule>
  </conditionalFormatting>
  <conditionalFormatting sqref="G86">
    <cfRule type="cellIs" dxfId="459" priority="64" operator="equal">
      <formula>"Not Mandatory"</formula>
    </cfRule>
    <cfRule type="cellIs" dxfId="458" priority="65" operator="equal">
      <formula>"Recommended"</formula>
    </cfRule>
  </conditionalFormatting>
  <conditionalFormatting sqref="G86">
    <cfRule type="cellIs" dxfId="457" priority="62" operator="equal">
      <formula>"Not Mandatory"</formula>
    </cfRule>
    <cfRule type="cellIs" dxfId="456" priority="63" operator="equal">
      <formula>"Recommended"</formula>
    </cfRule>
  </conditionalFormatting>
  <conditionalFormatting sqref="G9:G13">
    <cfRule type="cellIs" dxfId="455" priority="61" operator="equal">
      <formula>"Mandatory"</formula>
    </cfRule>
  </conditionalFormatting>
  <conditionalFormatting sqref="G9:G13">
    <cfRule type="cellIs" dxfId="454" priority="59" operator="equal">
      <formula>"Not Mandatory"</formula>
    </cfRule>
    <cfRule type="cellIs" dxfId="453" priority="60" operator="equal">
      <formula>"Recommended"</formula>
    </cfRule>
  </conditionalFormatting>
  <conditionalFormatting sqref="G31:G33">
    <cfRule type="cellIs" dxfId="452" priority="58" operator="equal">
      <formula>"Mandatory"</formula>
    </cfRule>
  </conditionalFormatting>
  <conditionalFormatting sqref="G31:G33">
    <cfRule type="cellIs" dxfId="451" priority="56" operator="equal">
      <formula>"Not Mandatory"</formula>
    </cfRule>
    <cfRule type="cellIs" dxfId="450" priority="57" operator="equal">
      <formula>"Recommended"</formula>
    </cfRule>
  </conditionalFormatting>
  <conditionalFormatting sqref="G31:G33">
    <cfRule type="cellIs" dxfId="449" priority="54" operator="equal">
      <formula>"Not Mandatory"</formula>
    </cfRule>
    <cfRule type="cellIs" dxfId="448" priority="55" operator="equal">
      <formula>"Recommended"</formula>
    </cfRule>
  </conditionalFormatting>
  <conditionalFormatting sqref="G31:G33">
    <cfRule type="cellIs" dxfId="447" priority="52" operator="equal">
      <formula>"Not Mandatory"</formula>
    </cfRule>
    <cfRule type="cellIs" dxfId="446" priority="53" operator="equal">
      <formula>"Recommended"</formula>
    </cfRule>
  </conditionalFormatting>
  <conditionalFormatting sqref="G41">
    <cfRule type="cellIs" dxfId="445" priority="51" operator="equal">
      <formula>"Mandatory"</formula>
    </cfRule>
  </conditionalFormatting>
  <conditionalFormatting sqref="G41">
    <cfRule type="cellIs" dxfId="444" priority="49" operator="equal">
      <formula>"Not Mandatory"</formula>
    </cfRule>
    <cfRule type="cellIs" dxfId="443" priority="50" operator="equal">
      <formula>"Recommended"</formula>
    </cfRule>
  </conditionalFormatting>
  <conditionalFormatting sqref="G41">
    <cfRule type="cellIs" dxfId="442" priority="47" operator="equal">
      <formula>"Not Mandatory"</formula>
    </cfRule>
    <cfRule type="cellIs" dxfId="441" priority="48" operator="equal">
      <formula>"Recommended"</formula>
    </cfRule>
  </conditionalFormatting>
  <conditionalFormatting sqref="G41">
    <cfRule type="cellIs" dxfId="440" priority="45" operator="equal">
      <formula>"Not Mandatory"</formula>
    </cfRule>
    <cfRule type="cellIs" dxfId="439" priority="46" operator="equal">
      <formula>"Recommended"</formula>
    </cfRule>
  </conditionalFormatting>
  <conditionalFormatting sqref="G90">
    <cfRule type="cellIs" dxfId="438" priority="44" operator="equal">
      <formula>"Mandatory"</formula>
    </cfRule>
  </conditionalFormatting>
  <conditionalFormatting sqref="G90">
    <cfRule type="cellIs" dxfId="437" priority="42" operator="equal">
      <formula>"Not Mandatory"</formula>
    </cfRule>
    <cfRule type="cellIs" dxfId="436" priority="43" operator="equal">
      <formula>"Recommended"</formula>
    </cfRule>
  </conditionalFormatting>
  <conditionalFormatting sqref="G122">
    <cfRule type="cellIs" dxfId="435" priority="41" operator="equal">
      <formula>"Mandatory"</formula>
    </cfRule>
  </conditionalFormatting>
  <conditionalFormatting sqref="G122">
    <cfRule type="cellIs" dxfId="434" priority="39" operator="equal">
      <formula>"Not Mandatory"</formula>
    </cfRule>
    <cfRule type="cellIs" dxfId="433" priority="40" operator="equal">
      <formula>"Recommended"</formula>
    </cfRule>
  </conditionalFormatting>
  <conditionalFormatting sqref="G119">
    <cfRule type="cellIs" dxfId="432" priority="38" operator="equal">
      <formula>"Mandatory"</formula>
    </cfRule>
  </conditionalFormatting>
  <conditionalFormatting sqref="G119">
    <cfRule type="cellIs" dxfId="431" priority="36" operator="equal">
      <formula>"Not Mandatory"</formula>
    </cfRule>
    <cfRule type="cellIs" dxfId="430" priority="37" operator="equal">
      <formula>"Recommended"</formula>
    </cfRule>
  </conditionalFormatting>
  <conditionalFormatting sqref="G109">
    <cfRule type="cellIs" dxfId="429" priority="35" operator="equal">
      <formula>"Mandatory"</formula>
    </cfRule>
  </conditionalFormatting>
  <conditionalFormatting sqref="G109">
    <cfRule type="cellIs" dxfId="428" priority="33" operator="equal">
      <formula>"Not Mandatory"</formula>
    </cfRule>
    <cfRule type="cellIs" dxfId="427" priority="34" operator="equal">
      <formula>"Recommended"</formula>
    </cfRule>
  </conditionalFormatting>
  <conditionalFormatting sqref="G130">
    <cfRule type="cellIs" dxfId="426" priority="32" operator="equal">
      <formula>"Mandatory"</formula>
    </cfRule>
  </conditionalFormatting>
  <conditionalFormatting sqref="G130">
    <cfRule type="cellIs" dxfId="425" priority="30" operator="equal">
      <formula>"Not Mandatory"</formula>
    </cfRule>
    <cfRule type="cellIs" dxfId="424" priority="31" operator="equal">
      <formula>"Recommended"</formula>
    </cfRule>
  </conditionalFormatting>
  <conditionalFormatting sqref="G125">
    <cfRule type="cellIs" dxfId="423" priority="29" operator="equal">
      <formula>"Mandatory"</formula>
    </cfRule>
  </conditionalFormatting>
  <conditionalFormatting sqref="G125">
    <cfRule type="cellIs" dxfId="422" priority="27" operator="equal">
      <formula>"Not Mandatory"</formula>
    </cfRule>
    <cfRule type="cellIs" dxfId="421" priority="28" operator="equal">
      <formula>"Recommended"</formula>
    </cfRule>
  </conditionalFormatting>
  <conditionalFormatting sqref="G127:G129">
    <cfRule type="cellIs" dxfId="420" priority="26" operator="equal">
      <formula>"Mandatory"</formula>
    </cfRule>
  </conditionalFormatting>
  <conditionalFormatting sqref="G127:G129">
    <cfRule type="cellIs" dxfId="419" priority="24" operator="equal">
      <formula>"Not Mandatory"</formula>
    </cfRule>
    <cfRule type="cellIs" dxfId="418" priority="25" operator="equal">
      <formula>"Recommended"</formula>
    </cfRule>
  </conditionalFormatting>
  <conditionalFormatting sqref="G135:G136">
    <cfRule type="cellIs" dxfId="417" priority="23" operator="equal">
      <formula>"Mandatory"</formula>
    </cfRule>
  </conditionalFormatting>
  <conditionalFormatting sqref="G135:G136">
    <cfRule type="cellIs" dxfId="416" priority="21" operator="equal">
      <formula>"Not Mandatory"</formula>
    </cfRule>
    <cfRule type="cellIs" dxfId="415" priority="22" operator="equal">
      <formula>"Recommended"</formula>
    </cfRule>
  </conditionalFormatting>
  <conditionalFormatting sqref="G154">
    <cfRule type="cellIs" dxfId="414" priority="20" operator="equal">
      <formula>"Mandatory"</formula>
    </cfRule>
  </conditionalFormatting>
  <conditionalFormatting sqref="G154">
    <cfRule type="cellIs" dxfId="413" priority="18" operator="equal">
      <formula>"Not Mandatory"</formula>
    </cfRule>
    <cfRule type="cellIs" dxfId="412" priority="19" operator="equal">
      <formula>"Recommended"</formula>
    </cfRule>
  </conditionalFormatting>
  <conditionalFormatting sqref="G162">
    <cfRule type="cellIs" dxfId="411" priority="17" operator="equal">
      <formula>"Mandatory"</formula>
    </cfRule>
  </conditionalFormatting>
  <conditionalFormatting sqref="G162">
    <cfRule type="cellIs" dxfId="410" priority="15" operator="equal">
      <formula>"Not Mandatory"</formula>
    </cfRule>
    <cfRule type="cellIs" dxfId="409" priority="16" operator="equal">
      <formula>"Recommended"</formula>
    </cfRule>
  </conditionalFormatting>
  <conditionalFormatting sqref="G66">
    <cfRule type="cellIs" dxfId="408" priority="14" operator="equal">
      <formula>"Mandatory"</formula>
    </cfRule>
  </conditionalFormatting>
  <conditionalFormatting sqref="G66">
    <cfRule type="cellIs" dxfId="407" priority="12" operator="equal">
      <formula>"Not Mandatory"</formula>
    </cfRule>
    <cfRule type="cellIs" dxfId="406" priority="13" operator="equal">
      <formula>"Recommended"</formula>
    </cfRule>
  </conditionalFormatting>
  <conditionalFormatting sqref="G66">
    <cfRule type="cellIs" dxfId="405" priority="10" operator="equal">
      <formula>"Not Mandatory"</formula>
    </cfRule>
    <cfRule type="cellIs" dxfId="404" priority="11" operator="equal">
      <formula>"Recommended"</formula>
    </cfRule>
  </conditionalFormatting>
  <conditionalFormatting sqref="G66">
    <cfRule type="cellIs" dxfId="403" priority="8" operator="equal">
      <formula>"Not Mandatory"</formula>
    </cfRule>
    <cfRule type="cellIs" dxfId="402" priority="9" operator="equal">
      <formula>"Recommended"</formula>
    </cfRule>
  </conditionalFormatting>
  <conditionalFormatting sqref="G39">
    <cfRule type="cellIs" dxfId="401" priority="7" operator="equal">
      <formula>"Mandatory"</formula>
    </cfRule>
  </conditionalFormatting>
  <conditionalFormatting sqref="G39">
    <cfRule type="cellIs" dxfId="400" priority="5" operator="equal">
      <formula>"Not Mandatory"</formula>
    </cfRule>
    <cfRule type="cellIs" dxfId="399" priority="6" operator="equal">
      <formula>"Recommended"</formula>
    </cfRule>
  </conditionalFormatting>
  <conditionalFormatting sqref="G39">
    <cfRule type="cellIs" dxfId="398" priority="3" operator="equal">
      <formula>"Not Mandatory"</formula>
    </cfRule>
    <cfRule type="cellIs" dxfId="397" priority="4" operator="equal">
      <formula>"Recommended"</formula>
    </cfRule>
  </conditionalFormatting>
  <conditionalFormatting sqref="G39">
    <cfRule type="cellIs" dxfId="396" priority="1" operator="equal">
      <formula>"Not Mandatory"</formula>
    </cfRule>
    <cfRule type="cellIs" dxfId="395" priority="2" operator="equal">
      <formula>"Recommended"</formula>
    </cfRule>
  </conditionalFormatting>
  <dataValidations count="1">
    <dataValidation type="list" allowBlank="1" showInputMessage="1" showErrorMessage="1" sqref="F4:F213" xr:uid="{6671188F-3323-4D86-86A8-2624B170FEA5}">
      <formula1>$F$1:$F$2</formula1>
    </dataValidation>
  </dataValidations>
  <pageMargins left="0.7" right="0.7" top="0.75" bottom="0.75" header="0.3" footer="0.3"/>
  <pageSetup paperSize="66" scale="3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D032-A650-452B-BD16-6579DA812EF2}">
  <sheetPr codeName="Sheet10">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44944.389872685184</v>
      </c>
      <c r="H4" s="162"/>
      <c r="J4" s="2" t="b">
        <f>EXACT(G4,'Vh5205_C-97'!G4)</f>
        <v>0</v>
      </c>
    </row>
    <row r="5" spans="1:10" x14ac:dyDescent="0.35">
      <c r="A5" s="90">
        <v>2</v>
      </c>
      <c r="B5" s="10" t="s">
        <v>685</v>
      </c>
      <c r="C5" s="10" t="s">
        <v>55</v>
      </c>
      <c r="D5" s="146"/>
      <c r="E5" s="146"/>
      <c r="F5" s="19" t="s">
        <v>26</v>
      </c>
      <c r="G5" s="202">
        <v>44951.47320601852</v>
      </c>
      <c r="H5" s="58"/>
      <c r="J5" s="2" t="b">
        <f>EXACT(G5,'Vh5205_C-97'!G5)</f>
        <v>0</v>
      </c>
    </row>
    <row r="6" spans="1:10" x14ac:dyDescent="0.35">
      <c r="A6" s="90">
        <v>3</v>
      </c>
      <c r="B6" s="146" t="s">
        <v>685</v>
      </c>
      <c r="C6" s="146" t="s">
        <v>41</v>
      </c>
      <c r="D6" s="146"/>
      <c r="E6" s="146"/>
      <c r="F6" s="19" t="s">
        <v>26</v>
      </c>
      <c r="G6" s="161" t="s">
        <v>516</v>
      </c>
      <c r="H6" s="58"/>
      <c r="J6" s="2" t="b">
        <f>EXACT(G6,'Vh5205_C-97'!G6)</f>
        <v>0</v>
      </c>
    </row>
    <row r="7" spans="1:10" x14ac:dyDescent="0.35">
      <c r="A7" s="90">
        <v>4</v>
      </c>
      <c r="B7" s="146" t="s">
        <v>685</v>
      </c>
      <c r="C7" s="146" t="s">
        <v>7</v>
      </c>
      <c r="D7" s="146"/>
      <c r="E7" s="146"/>
      <c r="F7" s="19" t="s">
        <v>79</v>
      </c>
      <c r="G7" s="192" t="s">
        <v>499</v>
      </c>
      <c r="H7" s="53" t="s">
        <v>652</v>
      </c>
      <c r="J7" s="176" t="b">
        <f>EXACT(G7,'Vh5205_C-97'!G7)</f>
        <v>1</v>
      </c>
    </row>
    <row r="8" spans="1:10" x14ac:dyDescent="0.35">
      <c r="A8" s="90">
        <v>5</v>
      </c>
      <c r="B8" s="87" t="s">
        <v>685</v>
      </c>
      <c r="C8" s="87" t="s">
        <v>39</v>
      </c>
      <c r="D8" s="87"/>
      <c r="E8" s="87"/>
      <c r="F8" s="22" t="s">
        <v>79</v>
      </c>
      <c r="G8" s="194" t="s">
        <v>524</v>
      </c>
      <c r="H8" s="181" t="s">
        <v>652</v>
      </c>
      <c r="J8" s="176" t="b">
        <f>EXACT(G8,'Vh5205_C-97'!G8)</f>
        <v>1</v>
      </c>
    </row>
    <row r="9" spans="1:10" x14ac:dyDescent="0.35">
      <c r="A9" s="90">
        <v>6</v>
      </c>
      <c r="B9" s="10" t="s">
        <v>686</v>
      </c>
      <c r="C9" s="10" t="s">
        <v>301</v>
      </c>
      <c r="D9" s="10"/>
      <c r="E9" s="10"/>
      <c r="F9" s="19" t="s">
        <v>26</v>
      </c>
      <c r="G9" s="192" t="s">
        <v>196</v>
      </c>
      <c r="H9" s="163" t="s">
        <v>652</v>
      </c>
      <c r="J9" s="176" t="b">
        <f>EXACT(G9,'Vh5205_C-97'!G9)</f>
        <v>1</v>
      </c>
    </row>
    <row r="10" spans="1:10" x14ac:dyDescent="0.35">
      <c r="A10" s="90">
        <v>7</v>
      </c>
      <c r="B10" s="10" t="s">
        <v>686</v>
      </c>
      <c r="C10" s="10" t="s">
        <v>302</v>
      </c>
      <c r="D10" s="94"/>
      <c r="E10" s="146"/>
      <c r="F10" s="19" t="s">
        <v>26</v>
      </c>
      <c r="G10" s="161" t="s">
        <v>523</v>
      </c>
      <c r="H10" s="140" t="s">
        <v>652</v>
      </c>
      <c r="J10" s="176" t="b">
        <f>EXACT(G10,'Vh5205_C-97'!G10)</f>
        <v>1</v>
      </c>
    </row>
    <row r="11" spans="1:10" x14ac:dyDescent="0.35">
      <c r="A11" s="90">
        <v>8</v>
      </c>
      <c r="B11" s="146" t="s">
        <v>686</v>
      </c>
      <c r="C11" s="146" t="s">
        <v>134</v>
      </c>
      <c r="D11" s="146" t="s">
        <v>15</v>
      </c>
      <c r="E11" s="146" t="s">
        <v>85</v>
      </c>
      <c r="F11" s="19" t="s">
        <v>26</v>
      </c>
      <c r="G11" s="192" t="s">
        <v>197</v>
      </c>
      <c r="H11" s="53" t="s">
        <v>652</v>
      </c>
      <c r="J11" s="176" t="b">
        <f>EXACT(G11,'Vh5205_C-97'!G11)</f>
        <v>1</v>
      </c>
    </row>
    <row r="12" spans="1:10" x14ac:dyDescent="0.35">
      <c r="A12" s="90">
        <v>9</v>
      </c>
      <c r="B12" s="10" t="s">
        <v>686</v>
      </c>
      <c r="C12" s="10" t="s">
        <v>310</v>
      </c>
      <c r="D12" s="146"/>
      <c r="E12" s="146"/>
      <c r="F12" s="19" t="s">
        <v>26</v>
      </c>
      <c r="G12" s="192" t="s">
        <v>198</v>
      </c>
      <c r="H12" s="53" t="s">
        <v>652</v>
      </c>
      <c r="J12" s="176" t="b">
        <f>EXACT(G12,'Vh5205_C-97'!G12)</f>
        <v>1</v>
      </c>
    </row>
    <row r="13" spans="1:10" x14ac:dyDescent="0.35">
      <c r="A13" s="90">
        <v>10</v>
      </c>
      <c r="B13" s="10" t="s">
        <v>686</v>
      </c>
      <c r="C13" s="10" t="s">
        <v>311</v>
      </c>
      <c r="D13" s="146"/>
      <c r="E13" s="146"/>
      <c r="F13" s="19" t="s">
        <v>26</v>
      </c>
      <c r="G13" s="192" t="s">
        <v>199</v>
      </c>
      <c r="H13" s="53" t="s">
        <v>652</v>
      </c>
      <c r="J13" s="176" t="b">
        <f>EXACT(G13,'Vh5205_C-97'!G13)</f>
        <v>1</v>
      </c>
    </row>
    <row r="14" spans="1:10" ht="17.5" x14ac:dyDescent="0.35">
      <c r="A14" s="90">
        <v>11</v>
      </c>
      <c r="B14" s="10" t="s">
        <v>686</v>
      </c>
      <c r="C14" s="10" t="s">
        <v>123</v>
      </c>
      <c r="D14" s="146" t="s">
        <v>557</v>
      </c>
      <c r="E14" s="146" t="s">
        <v>4</v>
      </c>
      <c r="F14" s="19" t="s">
        <v>26</v>
      </c>
      <c r="G14" s="161">
        <v>200</v>
      </c>
      <c r="H14" s="140"/>
      <c r="J14" s="1" t="b">
        <f>EXACT(G14,'Vh5205_C-97'!G14)</f>
        <v>1</v>
      </c>
    </row>
    <row r="15" spans="1:10" x14ac:dyDescent="0.35">
      <c r="A15" s="90">
        <v>12</v>
      </c>
      <c r="B15" s="146" t="s">
        <v>686</v>
      </c>
      <c r="C15" s="146" t="s">
        <v>116</v>
      </c>
      <c r="D15" s="146"/>
      <c r="E15" s="146"/>
      <c r="F15" s="19" t="s">
        <v>26</v>
      </c>
      <c r="G15" s="161" t="s">
        <v>684</v>
      </c>
      <c r="H15" s="53" t="s">
        <v>652</v>
      </c>
      <c r="J15" s="176" t="b">
        <f>EXACT(G15,'Vh5205_C-97'!G15)</f>
        <v>1</v>
      </c>
    </row>
    <row r="16" spans="1:10" x14ac:dyDescent="0.35">
      <c r="A16" s="90">
        <v>13</v>
      </c>
      <c r="B16" s="10" t="s">
        <v>686</v>
      </c>
      <c r="C16" s="10" t="s">
        <v>408</v>
      </c>
      <c r="D16" s="146"/>
      <c r="E16" s="146"/>
      <c r="F16" s="19" t="s">
        <v>26</v>
      </c>
      <c r="G16" s="161" t="s">
        <v>519</v>
      </c>
      <c r="H16" s="140"/>
      <c r="J16" s="1" t="b">
        <f>EXACT(G16,'Vh5205_C-97'!G16)</f>
        <v>1</v>
      </c>
    </row>
    <row r="17" spans="1:10" x14ac:dyDescent="0.35">
      <c r="A17" s="90">
        <v>14</v>
      </c>
      <c r="B17" s="10" t="s">
        <v>686</v>
      </c>
      <c r="C17" s="10" t="s">
        <v>409</v>
      </c>
      <c r="D17" s="146"/>
      <c r="E17" s="146"/>
      <c r="F17" s="19" t="s">
        <v>26</v>
      </c>
      <c r="G17" s="161" t="s">
        <v>524</v>
      </c>
      <c r="H17" s="140"/>
      <c r="J17" s="1" t="b">
        <f>EXACT(G17,'Vh5205_C-97'!G17)</f>
        <v>1</v>
      </c>
    </row>
    <row r="18" spans="1:10" s="7" customFormat="1" x14ac:dyDescent="0.35">
      <c r="A18" s="90">
        <v>15</v>
      </c>
      <c r="B18" s="146" t="s">
        <v>686</v>
      </c>
      <c r="C18" s="146" t="s">
        <v>177</v>
      </c>
      <c r="D18" s="146"/>
      <c r="E18" s="146"/>
      <c r="F18" s="19" t="s">
        <v>26</v>
      </c>
      <c r="G18" s="161" t="s">
        <v>524</v>
      </c>
      <c r="H18" s="177"/>
      <c r="J18" s="1" t="b">
        <f>EXACT(G18,'Vh5205_C-97'!G18)</f>
        <v>1</v>
      </c>
    </row>
    <row r="19" spans="1:10" x14ac:dyDescent="0.35">
      <c r="A19" s="90">
        <v>16</v>
      </c>
      <c r="B19" s="10" t="s">
        <v>686</v>
      </c>
      <c r="C19" s="10" t="s">
        <v>124</v>
      </c>
      <c r="D19" s="146"/>
      <c r="E19" s="146" t="s">
        <v>0</v>
      </c>
      <c r="F19" s="19" t="s">
        <v>79</v>
      </c>
      <c r="G19" s="203"/>
      <c r="H19" s="140"/>
      <c r="J19" s="1" t="b">
        <f>EXACT(G19,'Vh5205_C-97'!G19)</f>
        <v>1</v>
      </c>
    </row>
    <row r="20" spans="1:10" x14ac:dyDescent="0.35">
      <c r="A20" s="90">
        <v>17</v>
      </c>
      <c r="B20" s="10" t="s">
        <v>686</v>
      </c>
      <c r="C20" s="10" t="s">
        <v>188</v>
      </c>
      <c r="D20" s="146"/>
      <c r="E20" s="146" t="s">
        <v>0</v>
      </c>
      <c r="F20" s="19" t="s">
        <v>26</v>
      </c>
      <c r="G20" s="193" t="s">
        <v>618</v>
      </c>
      <c r="H20" s="140" t="s">
        <v>652</v>
      </c>
      <c r="J20" s="176" t="b">
        <f>EXACT(G20,'Vh5205_C-97'!G20)</f>
        <v>1</v>
      </c>
    </row>
    <row r="21" spans="1:10" x14ac:dyDescent="0.35">
      <c r="A21" s="90">
        <v>18</v>
      </c>
      <c r="B21" s="13" t="s">
        <v>686</v>
      </c>
      <c r="C21" s="13" t="s">
        <v>131</v>
      </c>
      <c r="D21" s="87"/>
      <c r="E21" s="87"/>
      <c r="F21" s="22" t="s">
        <v>79</v>
      </c>
      <c r="G21" s="196"/>
      <c r="H21" s="182"/>
      <c r="J21" s="1" t="b">
        <f>EXACT(G21,'Vh5205_C-97'!G21)</f>
        <v>1</v>
      </c>
    </row>
    <row r="22" spans="1:10" x14ac:dyDescent="0.35">
      <c r="A22" s="90">
        <v>19</v>
      </c>
      <c r="B22" s="146" t="s">
        <v>687</v>
      </c>
      <c r="C22" s="146" t="s">
        <v>65</v>
      </c>
      <c r="D22" s="146"/>
      <c r="E22" s="146"/>
      <c r="F22" s="19" t="s">
        <v>79</v>
      </c>
      <c r="G22" s="192" t="s">
        <v>48</v>
      </c>
      <c r="H22" s="53" t="s">
        <v>652</v>
      </c>
      <c r="J22" s="176" t="b">
        <f>EXACT(G22,'Vh5205_C-97'!G22)</f>
        <v>1</v>
      </c>
    </row>
    <row r="23" spans="1:10" x14ac:dyDescent="0.35">
      <c r="A23" s="90">
        <v>20</v>
      </c>
      <c r="B23" s="146" t="s">
        <v>687</v>
      </c>
      <c r="C23" s="146" t="s">
        <v>69</v>
      </c>
      <c r="D23" s="146"/>
      <c r="E23" s="146"/>
      <c r="F23" s="19" t="s">
        <v>79</v>
      </c>
      <c r="G23" s="161"/>
      <c r="H23" s="140"/>
      <c r="J23" s="1" t="b">
        <f>EXACT(G23,'Vh5205_C-97'!G23)</f>
        <v>1</v>
      </c>
    </row>
    <row r="24" spans="1:10" x14ac:dyDescent="0.35">
      <c r="A24" s="90">
        <v>21</v>
      </c>
      <c r="B24" s="146" t="s">
        <v>687</v>
      </c>
      <c r="C24" s="146" t="s">
        <v>70</v>
      </c>
      <c r="D24" s="146"/>
      <c r="E24" s="146"/>
      <c r="F24" s="19" t="s">
        <v>79</v>
      </c>
      <c r="G24" s="161"/>
      <c r="H24" s="140"/>
      <c r="J24" s="1" t="b">
        <f>EXACT(G24,'Vh5205_C-97'!G24)</f>
        <v>1</v>
      </c>
    </row>
    <row r="25" spans="1:10" x14ac:dyDescent="0.35">
      <c r="A25" s="90">
        <v>22</v>
      </c>
      <c r="B25" s="146" t="s">
        <v>687</v>
      </c>
      <c r="C25" s="146" t="s">
        <v>71</v>
      </c>
      <c r="D25" s="146"/>
      <c r="E25" s="146"/>
      <c r="F25" s="19" t="s">
        <v>79</v>
      </c>
      <c r="G25" s="161"/>
      <c r="H25" s="140"/>
      <c r="J25" s="1" t="b">
        <f>EXACT(G25,'Vh5205_C-97'!G25)</f>
        <v>1</v>
      </c>
    </row>
    <row r="26" spans="1:10" x14ac:dyDescent="0.35">
      <c r="A26" s="90">
        <v>23</v>
      </c>
      <c r="B26" s="146" t="s">
        <v>687</v>
      </c>
      <c r="C26" s="146" t="s">
        <v>72</v>
      </c>
      <c r="D26" s="146"/>
      <c r="E26" s="146"/>
      <c r="F26" s="19" t="s">
        <v>79</v>
      </c>
      <c r="G26" s="161"/>
      <c r="H26" s="140"/>
      <c r="J26" s="1" t="b">
        <f>EXACT(G26,'Vh5205_C-97'!G26)</f>
        <v>1</v>
      </c>
    </row>
    <row r="27" spans="1:10" x14ac:dyDescent="0.35">
      <c r="A27" s="90">
        <v>24</v>
      </c>
      <c r="B27" s="146" t="s">
        <v>687</v>
      </c>
      <c r="C27" s="146" t="s">
        <v>81</v>
      </c>
      <c r="D27" s="146"/>
      <c r="E27" s="146"/>
      <c r="F27" s="19" t="s">
        <v>79</v>
      </c>
      <c r="G27" s="161"/>
      <c r="H27" s="140"/>
      <c r="J27" s="1" t="b">
        <f>EXACT(G27,'Vh5205_C-97'!G27)</f>
        <v>1</v>
      </c>
    </row>
    <row r="28" spans="1:10" x14ac:dyDescent="0.35">
      <c r="A28" s="90">
        <v>25</v>
      </c>
      <c r="B28" s="146" t="s">
        <v>687</v>
      </c>
      <c r="C28" s="146" t="s">
        <v>82</v>
      </c>
      <c r="D28" s="146"/>
      <c r="E28" s="146"/>
      <c r="F28" s="22" t="s">
        <v>79</v>
      </c>
      <c r="G28" s="196"/>
      <c r="H28" s="182"/>
      <c r="J28" s="1" t="b">
        <f>EXACT(G28,'Vh5205_C-97'!G28)</f>
        <v>1</v>
      </c>
    </row>
    <row r="29" spans="1:10" x14ac:dyDescent="0.35">
      <c r="A29" s="90">
        <v>26</v>
      </c>
      <c r="B29" s="99" t="s">
        <v>688</v>
      </c>
      <c r="C29" s="99" t="s">
        <v>312</v>
      </c>
      <c r="D29" s="100"/>
      <c r="E29" s="100"/>
      <c r="F29" s="18" t="s">
        <v>26</v>
      </c>
      <c r="G29" s="196" t="s">
        <v>200</v>
      </c>
      <c r="H29" s="182" t="s">
        <v>652</v>
      </c>
      <c r="J29" s="176" t="b">
        <f>EXACT(G29,'Vh5205_C-97'!G29)</f>
        <v>1</v>
      </c>
    </row>
    <row r="30" spans="1:10" x14ac:dyDescent="0.35">
      <c r="A30" s="90">
        <v>27</v>
      </c>
      <c r="B30" s="102" t="s">
        <v>689</v>
      </c>
      <c r="C30" s="102" t="s">
        <v>147</v>
      </c>
      <c r="D30" s="100"/>
      <c r="E30" s="100"/>
      <c r="F30" s="18" t="s">
        <v>79</v>
      </c>
      <c r="G30" s="161"/>
      <c r="H30" s="140"/>
      <c r="J30" s="1" t="b">
        <f>EXACT(G30,'Vh5205_C-97'!G30)</f>
        <v>1</v>
      </c>
    </row>
    <row r="31" spans="1:10" s="7" customFormat="1" ht="31" x14ac:dyDescent="0.35">
      <c r="A31" s="90">
        <v>28</v>
      </c>
      <c r="B31" s="10" t="s">
        <v>689</v>
      </c>
      <c r="C31" s="10" t="s">
        <v>324</v>
      </c>
      <c r="D31" s="146"/>
      <c r="E31" s="10"/>
      <c r="F31" s="19" t="s">
        <v>26</v>
      </c>
      <c r="G31" s="161" t="s">
        <v>460</v>
      </c>
      <c r="H31" s="177" t="s">
        <v>652</v>
      </c>
      <c r="J31" s="176" t="b">
        <f>EXACT(G31,'Vh5205_C-97'!G31)</f>
        <v>1</v>
      </c>
    </row>
    <row r="32" spans="1:10" s="7" customFormat="1" x14ac:dyDescent="0.35">
      <c r="A32" s="90">
        <v>29</v>
      </c>
      <c r="B32" s="10" t="s">
        <v>689</v>
      </c>
      <c r="C32" s="10" t="s">
        <v>303</v>
      </c>
      <c r="D32" s="146"/>
      <c r="E32" s="10"/>
      <c r="F32" s="19" t="s">
        <v>26</v>
      </c>
      <c r="G32" s="161" t="s">
        <v>461</v>
      </c>
      <c r="H32" s="177" t="s">
        <v>652</v>
      </c>
      <c r="J32" s="176" t="b">
        <f>EXACT(G32,'Vh5205_C-97'!G32)</f>
        <v>1</v>
      </c>
    </row>
    <row r="33" spans="1:10" ht="31" x14ac:dyDescent="0.35">
      <c r="A33" s="90">
        <v>30</v>
      </c>
      <c r="B33" s="10" t="s">
        <v>689</v>
      </c>
      <c r="C33" s="10" t="s">
        <v>304</v>
      </c>
      <c r="D33" s="146"/>
      <c r="E33" s="146"/>
      <c r="F33" s="19" t="s">
        <v>79</v>
      </c>
      <c r="G33" s="161" t="s">
        <v>285</v>
      </c>
      <c r="H33" s="140" t="s">
        <v>652</v>
      </c>
      <c r="J33" s="176" t="b">
        <f>EXACT(G33,'Vh5205_C-97'!G33)</f>
        <v>1</v>
      </c>
    </row>
    <row r="34" spans="1:10" x14ac:dyDescent="0.35">
      <c r="A34" s="90">
        <v>31</v>
      </c>
      <c r="B34" s="10" t="s">
        <v>689</v>
      </c>
      <c r="C34" s="10" t="s">
        <v>83</v>
      </c>
      <c r="D34" s="146"/>
      <c r="E34" s="146" t="s">
        <v>85</v>
      </c>
      <c r="F34" s="19" t="s">
        <v>79</v>
      </c>
      <c r="G34" s="192"/>
      <c r="H34" s="140"/>
      <c r="J34" s="1" t="b">
        <f>EXACT(G34,'Vh5205_C-97'!G34)</f>
        <v>1</v>
      </c>
    </row>
    <row r="35" spans="1:10" x14ac:dyDescent="0.35">
      <c r="A35" s="90">
        <v>32</v>
      </c>
      <c r="B35" s="10" t="s">
        <v>689</v>
      </c>
      <c r="C35" s="10" t="s">
        <v>84</v>
      </c>
      <c r="D35" s="146"/>
      <c r="E35" s="146"/>
      <c r="F35" s="19" t="s">
        <v>79</v>
      </c>
      <c r="G35" s="192"/>
      <c r="H35" s="140"/>
      <c r="J35" s="1" t="b">
        <f>EXACT(G35,'Vh5205_C-97'!G35)</f>
        <v>1</v>
      </c>
    </row>
    <row r="36" spans="1:10" x14ac:dyDescent="0.35">
      <c r="A36" s="90">
        <v>33</v>
      </c>
      <c r="B36" s="10" t="s">
        <v>689</v>
      </c>
      <c r="C36" s="10" t="s">
        <v>61</v>
      </c>
      <c r="D36" s="146"/>
      <c r="E36" s="146"/>
      <c r="F36" s="19" t="s">
        <v>26</v>
      </c>
      <c r="G36" s="192" t="s">
        <v>611</v>
      </c>
      <c r="H36" s="140" t="s">
        <v>652</v>
      </c>
      <c r="J36" s="176" t="b">
        <f>EXACT(G36,'Vh5205_C-97'!G36)</f>
        <v>1</v>
      </c>
    </row>
    <row r="37" spans="1:10" x14ac:dyDescent="0.35">
      <c r="A37" s="90">
        <v>34</v>
      </c>
      <c r="B37" s="13" t="s">
        <v>689</v>
      </c>
      <c r="C37" s="13" t="s">
        <v>56</v>
      </c>
      <c r="D37" s="146"/>
      <c r="E37" s="146"/>
      <c r="F37" s="22" t="s">
        <v>26</v>
      </c>
      <c r="G37" s="194" t="s">
        <v>201</v>
      </c>
      <c r="H37" s="182" t="s">
        <v>652</v>
      </c>
      <c r="J37" s="176" t="b">
        <f>EXACT(G37,'Vh5205_C-97'!G37)</f>
        <v>1</v>
      </c>
    </row>
    <row r="38" spans="1:10" s="7" customFormat="1" x14ac:dyDescent="0.35">
      <c r="A38" s="90">
        <v>35</v>
      </c>
      <c r="B38" s="10" t="s">
        <v>690</v>
      </c>
      <c r="C38" s="10" t="s">
        <v>77</v>
      </c>
      <c r="D38" s="100"/>
      <c r="E38" s="102"/>
      <c r="F38" s="19" t="s">
        <v>26</v>
      </c>
      <c r="G38" s="161" t="s">
        <v>278</v>
      </c>
      <c r="H38" s="177" t="s">
        <v>652</v>
      </c>
      <c r="J38" s="176" t="b">
        <f>EXACT(G38,'Vh5205_C-97'!G38)</f>
        <v>1</v>
      </c>
    </row>
    <row r="39" spans="1:10" s="7" customFormat="1" ht="60" customHeight="1" x14ac:dyDescent="0.35">
      <c r="A39" s="90">
        <v>36</v>
      </c>
      <c r="B39" s="10" t="s">
        <v>690</v>
      </c>
      <c r="C39" s="10" t="s">
        <v>560</v>
      </c>
      <c r="D39" s="146"/>
      <c r="E39" s="10"/>
      <c r="F39" s="19" t="s">
        <v>26</v>
      </c>
      <c r="G39" s="161" t="s">
        <v>716</v>
      </c>
      <c r="H39" s="177" t="s">
        <v>652</v>
      </c>
      <c r="J39" s="176" t="b">
        <f>EXACT(G39,'Vh5205_C-97'!G39)</f>
        <v>1</v>
      </c>
    </row>
    <row r="40" spans="1:10" s="7" customFormat="1" ht="31" x14ac:dyDescent="0.35">
      <c r="A40" s="90">
        <v>37</v>
      </c>
      <c r="B40" s="10" t="s">
        <v>690</v>
      </c>
      <c r="C40" s="10" t="s">
        <v>305</v>
      </c>
      <c r="D40" s="146"/>
      <c r="E40" s="10"/>
      <c r="F40" s="19" t="s">
        <v>26</v>
      </c>
      <c r="G40" s="161" t="s">
        <v>619</v>
      </c>
      <c r="H40" s="177" t="s">
        <v>652</v>
      </c>
      <c r="J40" s="176" t="b">
        <f>EXACT(G40,'Vh5205_C-97'!G40)</f>
        <v>1</v>
      </c>
    </row>
    <row r="41" spans="1:10" s="7" customFormat="1" x14ac:dyDescent="0.35">
      <c r="A41" s="90">
        <v>38</v>
      </c>
      <c r="B41" s="10" t="s">
        <v>690</v>
      </c>
      <c r="C41" s="10" t="s">
        <v>128</v>
      </c>
      <c r="D41" s="146"/>
      <c r="E41" s="10"/>
      <c r="F41" s="19" t="s">
        <v>26</v>
      </c>
      <c r="G41" s="195">
        <v>35458</v>
      </c>
      <c r="H41" s="177" t="s">
        <v>652</v>
      </c>
      <c r="J41" s="176" t="b">
        <f>EXACT(G41,'Vh5205_C-97'!G41)</f>
        <v>1</v>
      </c>
    </row>
    <row r="42" spans="1:10" s="7" customFormat="1" x14ac:dyDescent="0.35">
      <c r="A42" s="90">
        <v>39</v>
      </c>
      <c r="B42" s="10" t="s">
        <v>690</v>
      </c>
      <c r="C42" s="10" t="s">
        <v>129</v>
      </c>
      <c r="D42" s="146"/>
      <c r="E42" s="10"/>
      <c r="F42" s="19" t="s">
        <v>79</v>
      </c>
      <c r="G42" s="192"/>
      <c r="H42" s="177" t="s">
        <v>652</v>
      </c>
      <c r="J42" s="176" t="b">
        <f>EXACT(G42,'Vh5205_C-97'!G42)</f>
        <v>1</v>
      </c>
    </row>
    <row r="43" spans="1:10" s="7" customFormat="1" x14ac:dyDescent="0.35">
      <c r="A43" s="90">
        <v>40</v>
      </c>
      <c r="B43" s="13" t="s">
        <v>690</v>
      </c>
      <c r="C43" s="13" t="s">
        <v>130</v>
      </c>
      <c r="D43" s="87"/>
      <c r="E43" s="13"/>
      <c r="F43" s="22" t="s">
        <v>79</v>
      </c>
      <c r="G43" s="194"/>
      <c r="H43" s="180" t="s">
        <v>652</v>
      </c>
      <c r="J43" s="176" t="b">
        <f>EXACT(G43,'Vh5205_C-97'!G43)</f>
        <v>1</v>
      </c>
    </row>
    <row r="44" spans="1:10" x14ac:dyDescent="0.35">
      <c r="A44" s="90">
        <v>41</v>
      </c>
      <c r="B44" s="102" t="s">
        <v>691</v>
      </c>
      <c r="C44" s="102" t="s">
        <v>117</v>
      </c>
      <c r="D44" s="100"/>
      <c r="E44" s="100"/>
      <c r="F44" s="18" t="s">
        <v>26</v>
      </c>
      <c r="G44" s="161" t="s">
        <v>462</v>
      </c>
      <c r="H44" s="177" t="s">
        <v>652</v>
      </c>
      <c r="J44" s="176" t="b">
        <f>EXACT(G44,'Vh5205_C-97'!G44)</f>
        <v>1</v>
      </c>
    </row>
    <row r="45" spans="1:10" s="7" customFormat="1" x14ac:dyDescent="0.35">
      <c r="A45" s="90">
        <v>42</v>
      </c>
      <c r="B45" s="10" t="s">
        <v>691</v>
      </c>
      <c r="C45" s="10" t="s">
        <v>87</v>
      </c>
      <c r="D45" s="146"/>
      <c r="E45" s="10"/>
      <c r="F45" s="19" t="s">
        <v>79</v>
      </c>
      <c r="G45" s="192" t="s">
        <v>196</v>
      </c>
      <c r="H45" s="177" t="s">
        <v>652</v>
      </c>
      <c r="J45" s="176" t="b">
        <f>EXACT(G45,'Vh5205_C-97'!G45)</f>
        <v>1</v>
      </c>
    </row>
    <row r="46" spans="1:10" s="7" customFormat="1" x14ac:dyDescent="0.35">
      <c r="A46" s="90">
        <v>43</v>
      </c>
      <c r="B46" s="10" t="s">
        <v>691</v>
      </c>
      <c r="C46" s="10" t="s">
        <v>88</v>
      </c>
      <c r="D46" s="146"/>
      <c r="E46" s="10"/>
      <c r="F46" s="19" t="s">
        <v>79</v>
      </c>
      <c r="G46" s="192" t="s">
        <v>196</v>
      </c>
      <c r="H46" s="177" t="s">
        <v>652</v>
      </c>
      <c r="J46" s="176" t="b">
        <f>EXACT(G46,'Vh5205_C-97'!G46)</f>
        <v>1</v>
      </c>
    </row>
    <row r="47" spans="1:10" s="7" customFormat="1" x14ac:dyDescent="0.35">
      <c r="A47" s="90">
        <v>44</v>
      </c>
      <c r="B47" s="10" t="s">
        <v>691</v>
      </c>
      <c r="C47" s="10" t="s">
        <v>60</v>
      </c>
      <c r="D47" s="146"/>
      <c r="E47" s="10"/>
      <c r="F47" s="19" t="s">
        <v>79</v>
      </c>
      <c r="G47" s="192" t="s">
        <v>500</v>
      </c>
      <c r="H47" s="177" t="s">
        <v>652</v>
      </c>
      <c r="J47" s="176" t="b">
        <f>EXACT(G47,'Vh5205_C-97'!G47)</f>
        <v>1</v>
      </c>
    </row>
    <row r="48" spans="1:10" x14ac:dyDescent="0.35">
      <c r="A48" s="90">
        <v>45</v>
      </c>
      <c r="B48" s="10" t="s">
        <v>691</v>
      </c>
      <c r="C48" s="10" t="s">
        <v>90</v>
      </c>
      <c r="D48" s="146"/>
      <c r="E48" s="146"/>
      <c r="F48" s="19" t="s">
        <v>26</v>
      </c>
      <c r="G48" s="161" t="s">
        <v>649</v>
      </c>
      <c r="H48" s="177" t="s">
        <v>652</v>
      </c>
      <c r="J48" s="176" t="b">
        <f>EXACT(G48,'Vh5205_C-97'!G48)</f>
        <v>1</v>
      </c>
    </row>
    <row r="49" spans="1:10" x14ac:dyDescent="0.35">
      <c r="A49" s="90">
        <v>46</v>
      </c>
      <c r="B49" s="10" t="s">
        <v>691</v>
      </c>
      <c r="C49" s="10" t="s">
        <v>91</v>
      </c>
      <c r="D49" s="146"/>
      <c r="E49" s="146"/>
      <c r="F49" s="19" t="s">
        <v>26</v>
      </c>
      <c r="G49" s="161" t="s">
        <v>649</v>
      </c>
      <c r="H49" s="177" t="s">
        <v>652</v>
      </c>
      <c r="J49" s="176" t="b">
        <f>EXACT(G49,'Vh5205_C-97'!G49)</f>
        <v>1</v>
      </c>
    </row>
    <row r="50" spans="1:10" x14ac:dyDescent="0.35">
      <c r="A50" s="90">
        <v>47</v>
      </c>
      <c r="B50" s="13" t="s">
        <v>691</v>
      </c>
      <c r="C50" s="13" t="s">
        <v>86</v>
      </c>
      <c r="D50" s="87"/>
      <c r="E50" s="87"/>
      <c r="F50" s="22" t="s">
        <v>79</v>
      </c>
      <c r="G50" s="194"/>
      <c r="H50" s="180"/>
      <c r="J50" s="1" t="b">
        <f>EXACT(G50,'Vh5205_C-97'!G50)</f>
        <v>1</v>
      </c>
    </row>
    <row r="51" spans="1:10" s="7" customFormat="1" x14ac:dyDescent="0.35">
      <c r="A51" s="90">
        <v>48</v>
      </c>
      <c r="B51" s="10" t="s">
        <v>692</v>
      </c>
      <c r="C51" s="10" t="s">
        <v>95</v>
      </c>
      <c r="D51" s="146"/>
      <c r="E51" s="10" t="s">
        <v>92</v>
      </c>
      <c r="F51" s="19" t="s">
        <v>26</v>
      </c>
      <c r="G51" s="161" t="s">
        <v>680</v>
      </c>
      <c r="H51" s="177" t="s">
        <v>652</v>
      </c>
      <c r="J51" s="176" t="b">
        <f>EXACT(G51,'Vh5205_C-97'!G51)</f>
        <v>1</v>
      </c>
    </row>
    <row r="52" spans="1:10" s="7" customFormat="1" x14ac:dyDescent="0.35">
      <c r="A52" s="90">
        <v>49</v>
      </c>
      <c r="B52" s="10" t="s">
        <v>692</v>
      </c>
      <c r="C52" s="10" t="s">
        <v>96</v>
      </c>
      <c r="D52" s="146"/>
      <c r="E52" s="10" t="s">
        <v>92</v>
      </c>
      <c r="F52" s="19" t="s">
        <v>26</v>
      </c>
      <c r="G52" s="161" t="s">
        <v>681</v>
      </c>
      <c r="H52" s="177" t="s">
        <v>652</v>
      </c>
      <c r="J52" s="176" t="b">
        <f>EXACT(G52,'Vh5205_C-97'!G52)</f>
        <v>1</v>
      </c>
    </row>
    <row r="53" spans="1:10" s="7" customFormat="1" x14ac:dyDescent="0.35">
      <c r="A53" s="90">
        <v>50</v>
      </c>
      <c r="B53" s="10" t="s">
        <v>692</v>
      </c>
      <c r="C53" s="10" t="s">
        <v>149</v>
      </c>
      <c r="D53" s="146"/>
      <c r="E53" s="10"/>
      <c r="F53" s="19" t="s">
        <v>26</v>
      </c>
      <c r="G53" s="161" t="s">
        <v>681</v>
      </c>
      <c r="H53" s="177" t="s">
        <v>652</v>
      </c>
      <c r="J53" s="176" t="b">
        <f>EXACT(G53,'Vh5205_C-97'!G53)</f>
        <v>1</v>
      </c>
    </row>
    <row r="54" spans="1:10" s="7" customFormat="1" x14ac:dyDescent="0.35">
      <c r="A54" s="90">
        <v>51</v>
      </c>
      <c r="B54" s="10" t="s">
        <v>692</v>
      </c>
      <c r="C54" s="10" t="s">
        <v>148</v>
      </c>
      <c r="D54" s="10"/>
      <c r="E54" s="10"/>
      <c r="F54" s="19" t="s">
        <v>79</v>
      </c>
      <c r="G54" s="161" t="s">
        <v>467</v>
      </c>
      <c r="H54" s="177" t="s">
        <v>652</v>
      </c>
      <c r="J54" s="176" t="b">
        <f>EXACT(G54,'Vh5205_C-97'!G54)</f>
        <v>1</v>
      </c>
    </row>
    <row r="55" spans="1:10" s="7" customFormat="1" x14ac:dyDescent="0.35">
      <c r="A55" s="90">
        <v>52</v>
      </c>
      <c r="B55" s="10" t="s">
        <v>692</v>
      </c>
      <c r="C55" s="10" t="s">
        <v>100</v>
      </c>
      <c r="D55" s="146"/>
      <c r="E55" s="10"/>
      <c r="F55" s="19" t="s">
        <v>79</v>
      </c>
      <c r="G55" s="192"/>
      <c r="H55" s="177"/>
      <c r="J55" s="1" t="b">
        <f>EXACT(G55,'Vh5205_C-97'!G55)</f>
        <v>1</v>
      </c>
    </row>
    <row r="56" spans="1:10" s="7" customFormat="1" x14ac:dyDescent="0.35">
      <c r="A56" s="90">
        <v>53</v>
      </c>
      <c r="B56" s="13" t="s">
        <v>692</v>
      </c>
      <c r="C56" s="13" t="s">
        <v>101</v>
      </c>
      <c r="D56" s="87"/>
      <c r="E56" s="13"/>
      <c r="F56" s="22" t="s">
        <v>79</v>
      </c>
      <c r="G56" s="194"/>
      <c r="H56" s="180"/>
      <c r="J56" s="1" t="b">
        <f>EXACT(G56,'Vh5205_C-97'!G56)</f>
        <v>1</v>
      </c>
    </row>
    <row r="57" spans="1:10" s="7" customFormat="1" x14ac:dyDescent="0.35">
      <c r="A57" s="90">
        <v>54</v>
      </c>
      <c r="B57" s="102" t="s">
        <v>693</v>
      </c>
      <c r="C57" s="102" t="s">
        <v>93</v>
      </c>
      <c r="D57" s="146"/>
      <c r="E57" s="10"/>
      <c r="F57" s="19" t="s">
        <v>26</v>
      </c>
      <c r="G57" s="161" t="s">
        <v>483</v>
      </c>
      <c r="H57" s="177" t="s">
        <v>652</v>
      </c>
      <c r="J57" s="176" t="b">
        <f>EXACT(G57,'Vh5205_C-97'!G57)</f>
        <v>1</v>
      </c>
    </row>
    <row r="58" spans="1:10" s="7" customFormat="1" x14ac:dyDescent="0.35">
      <c r="A58" s="90">
        <v>55</v>
      </c>
      <c r="B58" s="10" t="s">
        <v>693</v>
      </c>
      <c r="C58" s="10" t="s">
        <v>104</v>
      </c>
      <c r="D58" s="146"/>
      <c r="E58" s="10" t="s">
        <v>51</v>
      </c>
      <c r="F58" s="19" t="s">
        <v>26</v>
      </c>
      <c r="G58" s="161" t="s">
        <v>524</v>
      </c>
      <c r="H58" s="177" t="s">
        <v>652</v>
      </c>
      <c r="J58" s="176" t="b">
        <f>EXACT(G58,'Vh5205_C-97'!G58)</f>
        <v>1</v>
      </c>
    </row>
    <row r="59" spans="1:10" s="7" customFormat="1" x14ac:dyDescent="0.35">
      <c r="A59" s="90">
        <v>56</v>
      </c>
      <c r="B59" s="104" t="s">
        <v>693</v>
      </c>
      <c r="C59" s="104" t="s">
        <v>418</v>
      </c>
      <c r="D59" s="104"/>
      <c r="E59" s="104"/>
      <c r="F59" s="19" t="s">
        <v>26</v>
      </c>
      <c r="G59" s="161" t="s">
        <v>524</v>
      </c>
      <c r="H59" s="177" t="s">
        <v>652</v>
      </c>
      <c r="J59" s="176" t="b">
        <f>EXACT(G59,'Vh5205_C-97'!G59)</f>
        <v>1</v>
      </c>
    </row>
    <row r="60" spans="1:10" s="7" customFormat="1" x14ac:dyDescent="0.35">
      <c r="A60" s="90">
        <v>57</v>
      </c>
      <c r="B60" s="10" t="s">
        <v>693</v>
      </c>
      <c r="C60" s="10" t="s">
        <v>103</v>
      </c>
      <c r="D60" s="146"/>
      <c r="E60" s="10"/>
      <c r="F60" s="19" t="s">
        <v>79</v>
      </c>
      <c r="G60" s="161" t="s">
        <v>524</v>
      </c>
      <c r="H60" s="177" t="s">
        <v>652</v>
      </c>
      <c r="J60" s="176" t="b">
        <f>EXACT(G60,'Vh5205_C-97'!G60)</f>
        <v>1</v>
      </c>
    </row>
    <row r="61" spans="1:10" s="7" customFormat="1" x14ac:dyDescent="0.35">
      <c r="A61" s="90">
        <v>58</v>
      </c>
      <c r="B61" s="10" t="s">
        <v>693</v>
      </c>
      <c r="C61" s="10" t="s">
        <v>125</v>
      </c>
      <c r="D61" s="146"/>
      <c r="E61" s="10" t="s">
        <v>1</v>
      </c>
      <c r="F61" s="19" t="s">
        <v>79</v>
      </c>
      <c r="G61" s="161"/>
      <c r="H61" s="177"/>
      <c r="J61" s="2" t="b">
        <f>EXACT(G61,'Vh5205_C-97'!G61)</f>
        <v>1</v>
      </c>
    </row>
    <row r="62" spans="1:10" s="7" customFormat="1" x14ac:dyDescent="0.35">
      <c r="A62" s="90">
        <v>59</v>
      </c>
      <c r="B62" s="10" t="s">
        <v>693</v>
      </c>
      <c r="C62" s="10" t="s">
        <v>62</v>
      </c>
      <c r="D62" s="146"/>
      <c r="E62" s="10" t="s">
        <v>51</v>
      </c>
      <c r="F62" s="19" t="s">
        <v>79</v>
      </c>
      <c r="G62" s="161"/>
      <c r="H62" s="177"/>
      <c r="J62" s="1" t="b">
        <f>EXACT(G62,'Vh5205_C-97'!G62)</f>
        <v>1</v>
      </c>
    </row>
    <row r="63" spans="1:10" s="7" customFormat="1" x14ac:dyDescent="0.35">
      <c r="A63" s="90">
        <v>60</v>
      </c>
      <c r="B63" s="10" t="s">
        <v>693</v>
      </c>
      <c r="C63" s="10" t="s">
        <v>63</v>
      </c>
      <c r="D63" s="146"/>
      <c r="E63" s="10" t="s">
        <v>51</v>
      </c>
      <c r="F63" s="19" t="s">
        <v>79</v>
      </c>
      <c r="G63" s="161"/>
      <c r="H63" s="177"/>
      <c r="J63" s="1" t="b">
        <f>EXACT(G63,'Vh5205_C-97'!G63)</f>
        <v>1</v>
      </c>
    </row>
    <row r="64" spans="1:10" s="7" customFormat="1" x14ac:dyDescent="0.35">
      <c r="A64" s="90">
        <v>61</v>
      </c>
      <c r="B64" s="10" t="s">
        <v>693</v>
      </c>
      <c r="C64" s="10" t="s">
        <v>126</v>
      </c>
      <c r="D64" s="146"/>
      <c r="E64" s="10"/>
      <c r="F64" s="19" t="s">
        <v>79</v>
      </c>
      <c r="G64" s="161"/>
      <c r="H64" s="177"/>
      <c r="J64" s="1" t="b">
        <f>EXACT(G64,'Vh5205_C-97'!G64)</f>
        <v>1</v>
      </c>
    </row>
    <row r="65" spans="1:10" s="7" customFormat="1" x14ac:dyDescent="0.35">
      <c r="A65" s="90">
        <v>62</v>
      </c>
      <c r="B65" s="10" t="s">
        <v>693</v>
      </c>
      <c r="C65" s="10" t="s">
        <v>52</v>
      </c>
      <c r="D65" s="146"/>
      <c r="E65" s="10"/>
      <c r="F65" s="19" t="s">
        <v>79</v>
      </c>
      <c r="G65" s="161"/>
      <c r="H65" s="177"/>
      <c r="J65" s="1" t="b">
        <f>EXACT(G65,'Vh5205_C-97'!G65)</f>
        <v>1</v>
      </c>
    </row>
    <row r="66" spans="1:10" s="7" customFormat="1" x14ac:dyDescent="0.35">
      <c r="A66" s="90">
        <v>63</v>
      </c>
      <c r="B66" s="10" t="s">
        <v>693</v>
      </c>
      <c r="C66" s="10" t="s">
        <v>189</v>
      </c>
      <c r="D66" s="146"/>
      <c r="E66" s="10"/>
      <c r="F66" s="19" t="s">
        <v>79</v>
      </c>
      <c r="G66" s="161" t="s">
        <v>682</v>
      </c>
      <c r="H66" s="177" t="s">
        <v>652</v>
      </c>
      <c r="J66" s="176" t="b">
        <f>EXACT(G66,'Vh5205_C-97'!G66)</f>
        <v>1</v>
      </c>
    </row>
    <row r="67" spans="1:10" s="7" customFormat="1" x14ac:dyDescent="0.35">
      <c r="A67" s="90">
        <v>64</v>
      </c>
      <c r="B67" s="10" t="s">
        <v>693</v>
      </c>
      <c r="C67" s="10" t="s">
        <v>190</v>
      </c>
      <c r="D67" s="146"/>
      <c r="E67" s="10"/>
      <c r="F67" s="19" t="s">
        <v>79</v>
      </c>
      <c r="G67" s="192"/>
      <c r="H67" s="177"/>
      <c r="J67" s="1" t="b">
        <f>EXACT(G67,'Vh5205_C-97'!G67)</f>
        <v>1</v>
      </c>
    </row>
    <row r="68" spans="1:10" s="7" customFormat="1" x14ac:dyDescent="0.35">
      <c r="A68" s="90">
        <v>65</v>
      </c>
      <c r="B68" s="10" t="s">
        <v>693</v>
      </c>
      <c r="C68" s="10" t="s">
        <v>382</v>
      </c>
      <c r="D68" s="146"/>
      <c r="E68" s="10"/>
      <c r="F68" s="19" t="s">
        <v>79</v>
      </c>
      <c r="G68" s="161" t="s">
        <v>620</v>
      </c>
      <c r="H68" s="177" t="s">
        <v>652</v>
      </c>
      <c r="J68" s="176" t="b">
        <f>EXACT(G68,'Vh5205_C-97'!G68)</f>
        <v>1</v>
      </c>
    </row>
    <row r="69" spans="1:10" s="7" customFormat="1" ht="31" x14ac:dyDescent="0.35">
      <c r="A69" s="90">
        <v>66</v>
      </c>
      <c r="B69" s="10" t="s">
        <v>693</v>
      </c>
      <c r="C69" s="10" t="s">
        <v>419</v>
      </c>
      <c r="D69" s="146"/>
      <c r="E69" s="10" t="s">
        <v>480</v>
      </c>
      <c r="F69" s="19" t="s">
        <v>26</v>
      </c>
      <c r="G69" s="161" t="s">
        <v>650</v>
      </c>
      <c r="H69" s="177" t="s">
        <v>652</v>
      </c>
      <c r="J69" s="176" t="b">
        <f>EXACT(G69,'Vh5205_C-97'!G69)</f>
        <v>1</v>
      </c>
    </row>
    <row r="70" spans="1:10" s="7" customFormat="1" ht="31" x14ac:dyDescent="0.35">
      <c r="A70" s="90">
        <v>67</v>
      </c>
      <c r="B70" s="104" t="s">
        <v>693</v>
      </c>
      <c r="C70" s="104" t="s">
        <v>420</v>
      </c>
      <c r="D70" s="104"/>
      <c r="E70" s="104"/>
      <c r="F70" s="19" t="s">
        <v>26</v>
      </c>
      <c r="G70" s="161" t="s">
        <v>717</v>
      </c>
      <c r="H70" s="177" t="s">
        <v>652</v>
      </c>
      <c r="J70" s="176" t="b">
        <f>EXACT(G70,'Vh5205_C-97'!G70)</f>
        <v>1</v>
      </c>
    </row>
    <row r="71" spans="1:10" s="7" customFormat="1" x14ac:dyDescent="0.35">
      <c r="A71" s="90">
        <v>68</v>
      </c>
      <c r="B71" s="104" t="s">
        <v>693</v>
      </c>
      <c r="C71" s="104" t="s">
        <v>421</v>
      </c>
      <c r="D71" s="107"/>
      <c r="E71" s="107"/>
      <c r="F71" s="22" t="s">
        <v>79</v>
      </c>
      <c r="G71" s="196"/>
      <c r="H71" s="180"/>
      <c r="J71" s="1" t="b">
        <f>EXACT(G71,'Vh5205_C-97'!G71)</f>
        <v>1</v>
      </c>
    </row>
    <row r="72" spans="1:10" s="7" customFormat="1" x14ac:dyDescent="0.35">
      <c r="A72" s="90">
        <v>69</v>
      </c>
      <c r="B72" s="102" t="s">
        <v>694</v>
      </c>
      <c r="C72" s="102" t="s">
        <v>422</v>
      </c>
      <c r="D72" s="10"/>
      <c r="E72" s="10"/>
      <c r="F72" s="19" t="s">
        <v>79</v>
      </c>
      <c r="G72" s="161"/>
      <c r="H72" s="177"/>
      <c r="J72" s="1" t="b">
        <f>EXACT(G72,'Vh5205_C-97'!G72)</f>
        <v>1</v>
      </c>
    </row>
    <row r="73" spans="1:10" s="7" customFormat="1" x14ac:dyDescent="0.35">
      <c r="A73" s="90">
        <v>70</v>
      </c>
      <c r="B73" s="13" t="s">
        <v>694</v>
      </c>
      <c r="C73" s="13" t="s">
        <v>102</v>
      </c>
      <c r="D73" s="87"/>
      <c r="E73" s="13"/>
      <c r="F73" s="22" t="s">
        <v>79</v>
      </c>
      <c r="G73" s="196"/>
      <c r="H73" s="180"/>
      <c r="J73" s="1" t="b">
        <f>EXACT(G73,'Vh5205_C-97'!G73)</f>
        <v>1</v>
      </c>
    </row>
    <row r="74" spans="1:10" s="7" customFormat="1" x14ac:dyDescent="0.35">
      <c r="A74" s="90">
        <v>71</v>
      </c>
      <c r="B74" s="10" t="s">
        <v>695</v>
      </c>
      <c r="C74" s="10" t="s">
        <v>127</v>
      </c>
      <c r="D74" s="146"/>
      <c r="E74" s="10" t="s">
        <v>4</v>
      </c>
      <c r="F74" s="19" t="s">
        <v>79</v>
      </c>
      <c r="G74" s="161"/>
      <c r="H74" s="177"/>
      <c r="J74" s="1" t="b">
        <f>EXACT(G74,'Vh5205_C-97'!G74)</f>
        <v>1</v>
      </c>
    </row>
    <row r="75" spans="1:10" s="7" customFormat="1" x14ac:dyDescent="0.35">
      <c r="A75" s="90">
        <v>72</v>
      </c>
      <c r="B75" s="10" t="s">
        <v>695</v>
      </c>
      <c r="C75" s="10" t="s">
        <v>298</v>
      </c>
      <c r="D75" s="146"/>
      <c r="E75" s="10" t="s">
        <v>4</v>
      </c>
      <c r="F75" s="19" t="s">
        <v>79</v>
      </c>
      <c r="G75" s="192" t="s">
        <v>655</v>
      </c>
      <c r="H75" s="177" t="s">
        <v>652</v>
      </c>
      <c r="J75" s="176" t="b">
        <f>EXACT(G75,'Vh5205_C-97'!G75)</f>
        <v>1</v>
      </c>
    </row>
    <row r="76" spans="1:10" s="7" customFormat="1" x14ac:dyDescent="0.35">
      <c r="A76" s="90">
        <v>73</v>
      </c>
      <c r="B76" s="10" t="s">
        <v>695</v>
      </c>
      <c r="C76" s="10" t="s">
        <v>115</v>
      </c>
      <c r="D76" s="146"/>
      <c r="E76" s="10"/>
      <c r="F76" s="22" t="s">
        <v>79</v>
      </c>
      <c r="G76" s="196"/>
      <c r="H76" s="180"/>
      <c r="J76" s="1" t="b">
        <f>EXACT(G76,'Vh5205_C-97'!G76)</f>
        <v>1</v>
      </c>
    </row>
    <row r="77" spans="1:10" x14ac:dyDescent="0.35">
      <c r="A77" s="90">
        <v>74</v>
      </c>
      <c r="B77" s="100" t="s">
        <v>696</v>
      </c>
      <c r="C77" s="100" t="s">
        <v>43</v>
      </c>
      <c r="D77" s="100"/>
      <c r="E77" s="100"/>
      <c r="F77" s="19" t="s">
        <v>79</v>
      </c>
      <c r="G77" s="161" t="s">
        <v>516</v>
      </c>
      <c r="H77" s="140"/>
      <c r="J77" s="1" t="b">
        <f>EXACT(G77,'Vh5205_C-97'!G77)</f>
        <v>0</v>
      </c>
    </row>
    <row r="78" spans="1:10" x14ac:dyDescent="0.35">
      <c r="A78" s="90">
        <v>75</v>
      </c>
      <c r="B78" s="146" t="s">
        <v>696</v>
      </c>
      <c r="C78" s="146" t="s">
        <v>114</v>
      </c>
      <c r="D78" s="146"/>
      <c r="E78" s="146"/>
      <c r="F78" s="19" t="s">
        <v>79</v>
      </c>
      <c r="G78" s="161"/>
      <c r="H78" s="140"/>
      <c r="J78" s="1" t="b">
        <f>EXACT(G78,'Vh5205_C-97'!G78)</f>
        <v>1</v>
      </c>
    </row>
    <row r="79" spans="1:10" x14ac:dyDescent="0.35">
      <c r="A79" s="90">
        <v>76</v>
      </c>
      <c r="B79" s="10" t="s">
        <v>696</v>
      </c>
      <c r="C79" s="10" t="s">
        <v>338</v>
      </c>
      <c r="D79" s="146"/>
      <c r="E79" s="146"/>
      <c r="F79" s="19" t="s">
        <v>79</v>
      </c>
      <c r="G79" s="192" t="s">
        <v>615</v>
      </c>
      <c r="H79" s="140" t="s">
        <v>652</v>
      </c>
      <c r="J79" s="176" t="b">
        <f>EXACT(G79,'Vh5205_C-97'!G79)</f>
        <v>1</v>
      </c>
    </row>
    <row r="80" spans="1:10" x14ac:dyDescent="0.35">
      <c r="A80" s="90">
        <v>77</v>
      </c>
      <c r="B80" s="10" t="s">
        <v>696</v>
      </c>
      <c r="C80" s="10" t="s">
        <v>150</v>
      </c>
      <c r="D80" s="146"/>
      <c r="E80" s="146"/>
      <c r="F80" s="19" t="s">
        <v>26</v>
      </c>
      <c r="G80" s="192" t="s">
        <v>612</v>
      </c>
      <c r="H80" s="140" t="s">
        <v>652</v>
      </c>
      <c r="J80" s="176" t="b">
        <f>EXACT(G80,'Vh5205_C-97'!G80)</f>
        <v>1</v>
      </c>
    </row>
    <row r="81" spans="1:10" x14ac:dyDescent="0.35">
      <c r="A81" s="90">
        <v>78</v>
      </c>
      <c r="B81" s="10" t="s">
        <v>696</v>
      </c>
      <c r="C81" s="10" t="s">
        <v>152</v>
      </c>
      <c r="D81" s="146"/>
      <c r="E81" s="146"/>
      <c r="F81" s="19" t="s">
        <v>26</v>
      </c>
      <c r="G81" s="192" t="s">
        <v>267</v>
      </c>
      <c r="H81" s="140" t="s">
        <v>652</v>
      </c>
      <c r="J81" s="176" t="b">
        <f>EXACT(G81,'Vh5205_C-97'!G81)</f>
        <v>1</v>
      </c>
    </row>
    <row r="82" spans="1:10" x14ac:dyDescent="0.35">
      <c r="A82" s="90">
        <v>79</v>
      </c>
      <c r="B82" s="10" t="s">
        <v>696</v>
      </c>
      <c r="C82" s="10" t="s">
        <v>153</v>
      </c>
      <c r="D82" s="146"/>
      <c r="E82" s="146"/>
      <c r="F82" s="19" t="s">
        <v>26</v>
      </c>
      <c r="G82" s="192" t="s">
        <v>268</v>
      </c>
      <c r="H82" s="140" t="s">
        <v>652</v>
      </c>
      <c r="J82" s="176" t="b">
        <f>EXACT(G82,'Vh5205_C-97'!G82)</f>
        <v>1</v>
      </c>
    </row>
    <row r="83" spans="1:10" ht="31" x14ac:dyDescent="0.35">
      <c r="A83" s="90">
        <v>80</v>
      </c>
      <c r="B83" s="10" t="s">
        <v>696</v>
      </c>
      <c r="C83" s="10" t="s">
        <v>9</v>
      </c>
      <c r="D83" s="146"/>
      <c r="E83" s="146"/>
      <c r="F83" s="19" t="s">
        <v>26</v>
      </c>
      <c r="G83" s="161" t="s">
        <v>715</v>
      </c>
      <c r="H83" s="140" t="s">
        <v>652</v>
      </c>
      <c r="J83" s="176" t="b">
        <f>EXACT(G83,'Vh5205_C-97'!G83)</f>
        <v>1</v>
      </c>
    </row>
    <row r="84" spans="1:10" x14ac:dyDescent="0.35">
      <c r="A84" s="90">
        <v>81</v>
      </c>
      <c r="B84" s="10" t="s">
        <v>696</v>
      </c>
      <c r="C84" s="10" t="s">
        <v>339</v>
      </c>
      <c r="D84" s="146"/>
      <c r="E84" s="146"/>
      <c r="F84" s="19" t="s">
        <v>26</v>
      </c>
      <c r="G84" s="161" t="s">
        <v>718</v>
      </c>
      <c r="H84" s="140" t="s">
        <v>652</v>
      </c>
      <c r="J84" s="176" t="b">
        <f>EXACT(G84,'Vh5205_C-97'!G84)</f>
        <v>1</v>
      </c>
    </row>
    <row r="85" spans="1:10" ht="31" x14ac:dyDescent="0.35">
      <c r="A85" s="90">
        <v>82</v>
      </c>
      <c r="B85" s="10" t="s">
        <v>696</v>
      </c>
      <c r="C85" s="10" t="s">
        <v>573</v>
      </c>
      <c r="D85" s="146"/>
      <c r="E85" s="146"/>
      <c r="F85" s="19" t="s">
        <v>26</v>
      </c>
      <c r="G85" s="161" t="s">
        <v>537</v>
      </c>
      <c r="H85" s="140" t="s">
        <v>652</v>
      </c>
      <c r="J85" s="176" t="b">
        <f>EXACT(G85,'Vh5205_C-97'!G85)</f>
        <v>1</v>
      </c>
    </row>
    <row r="86" spans="1:10" s="7" customFormat="1" ht="46.5" x14ac:dyDescent="0.35">
      <c r="A86" s="90">
        <v>83</v>
      </c>
      <c r="B86" s="13" t="s">
        <v>696</v>
      </c>
      <c r="C86" s="13" t="s">
        <v>133</v>
      </c>
      <c r="D86" s="87"/>
      <c r="E86" s="87" t="s">
        <v>51</v>
      </c>
      <c r="F86" s="22" t="s">
        <v>79</v>
      </c>
      <c r="G86" s="196" t="s">
        <v>651</v>
      </c>
      <c r="H86" s="182" t="s">
        <v>652</v>
      </c>
      <c r="J86" s="176" t="b">
        <f>EXACT(G86,'Vh5205_C-97'!G86)</f>
        <v>1</v>
      </c>
    </row>
    <row r="87" spans="1:10" x14ac:dyDescent="0.35">
      <c r="A87" s="90">
        <v>84</v>
      </c>
      <c r="B87" s="146" t="s">
        <v>697</v>
      </c>
      <c r="C87" s="146" t="s">
        <v>299</v>
      </c>
      <c r="D87" s="94"/>
      <c r="E87" s="146"/>
      <c r="F87" s="19" t="s">
        <v>79</v>
      </c>
      <c r="G87" s="204" t="s">
        <v>502</v>
      </c>
      <c r="H87" s="140" t="s">
        <v>652</v>
      </c>
      <c r="J87" s="176" t="b">
        <f>EXACT(G87,'Vh5205_C-97'!G87)</f>
        <v>1</v>
      </c>
    </row>
    <row r="88" spans="1:10" x14ac:dyDescent="0.35">
      <c r="A88" s="90">
        <v>85</v>
      </c>
      <c r="B88" s="10" t="s">
        <v>697</v>
      </c>
      <c r="C88" s="10" t="s">
        <v>300</v>
      </c>
      <c r="D88" s="94"/>
      <c r="E88" s="146"/>
      <c r="F88" s="19" t="s">
        <v>79</v>
      </c>
      <c r="G88" s="192" t="s">
        <v>617</v>
      </c>
      <c r="H88" s="140" t="s">
        <v>652</v>
      </c>
      <c r="J88" s="176" t="b">
        <f>EXACT(G88,'Vh5205_C-97'!G88)</f>
        <v>1</v>
      </c>
    </row>
    <row r="89" spans="1:10" x14ac:dyDescent="0.35">
      <c r="A89" s="90">
        <v>86</v>
      </c>
      <c r="B89" s="10" t="s">
        <v>697</v>
      </c>
      <c r="C89" s="10" t="s">
        <v>156</v>
      </c>
      <c r="D89" s="146"/>
      <c r="E89" s="146" t="s">
        <v>0</v>
      </c>
      <c r="F89" s="19" t="s">
        <v>79</v>
      </c>
      <c r="G89" s="192">
        <v>1</v>
      </c>
      <c r="H89" s="140" t="s">
        <v>652</v>
      </c>
      <c r="J89" s="176" t="b">
        <f>EXACT(G89,'Vh5205_C-97'!G89)</f>
        <v>1</v>
      </c>
    </row>
    <row r="90" spans="1:10" x14ac:dyDescent="0.35">
      <c r="A90" s="90">
        <v>87</v>
      </c>
      <c r="B90" s="10" t="s">
        <v>697</v>
      </c>
      <c r="C90" s="10" t="s">
        <v>132</v>
      </c>
      <c r="D90" s="146"/>
      <c r="E90" s="146" t="s">
        <v>0</v>
      </c>
      <c r="F90" s="19" t="s">
        <v>79</v>
      </c>
      <c r="G90" s="192">
        <v>20</v>
      </c>
      <c r="H90" s="140" t="s">
        <v>652</v>
      </c>
      <c r="J90" s="176" t="b">
        <f>EXACT(G90,'Vh5205_C-97'!G90)</f>
        <v>1</v>
      </c>
    </row>
    <row r="91" spans="1:10" s="7" customFormat="1" x14ac:dyDescent="0.35">
      <c r="A91" s="90">
        <v>88</v>
      </c>
      <c r="B91" s="10" t="s">
        <v>697</v>
      </c>
      <c r="C91" s="10" t="s">
        <v>343</v>
      </c>
      <c r="D91" s="146"/>
      <c r="E91" s="146"/>
      <c r="F91" s="20" t="s">
        <v>26</v>
      </c>
      <c r="G91" s="161" t="s">
        <v>625</v>
      </c>
      <c r="H91" s="140" t="s">
        <v>652</v>
      </c>
      <c r="J91" s="176" t="b">
        <f>EXACT(G91,'Vh5205_C-97'!G91)</f>
        <v>1</v>
      </c>
    </row>
    <row r="92" spans="1:10" s="7" customFormat="1" ht="31" x14ac:dyDescent="0.35">
      <c r="A92" s="90">
        <v>89</v>
      </c>
      <c r="B92" s="10" t="s">
        <v>697</v>
      </c>
      <c r="C92" s="10" t="s">
        <v>425</v>
      </c>
      <c r="D92" s="146"/>
      <c r="E92" s="146"/>
      <c r="F92" s="20" t="s">
        <v>26</v>
      </c>
      <c r="G92" s="161" t="s">
        <v>621</v>
      </c>
      <c r="H92" s="140" t="s">
        <v>652</v>
      </c>
      <c r="J92" s="176" t="b">
        <f>EXACT(G92,'Vh5205_C-97'!G92)</f>
        <v>1</v>
      </c>
    </row>
    <row r="93" spans="1:10" ht="31" x14ac:dyDescent="0.35">
      <c r="A93" s="90">
        <v>90</v>
      </c>
      <c r="B93" s="87" t="s">
        <v>697</v>
      </c>
      <c r="C93" s="87" t="s">
        <v>157</v>
      </c>
      <c r="D93" s="87"/>
      <c r="E93" s="87"/>
      <c r="F93" s="21" t="s">
        <v>26</v>
      </c>
      <c r="G93" s="196" t="s">
        <v>719</v>
      </c>
      <c r="H93" s="182" t="s">
        <v>652</v>
      </c>
      <c r="J93" s="176" t="b">
        <f>EXACT(G93,'Vh5205_C-97'!G93)</f>
        <v>1</v>
      </c>
    </row>
    <row r="94" spans="1:10" s="7" customFormat="1" x14ac:dyDescent="0.35">
      <c r="A94" s="90">
        <v>91</v>
      </c>
      <c r="B94" s="10" t="s">
        <v>698</v>
      </c>
      <c r="C94" s="10" t="s">
        <v>159</v>
      </c>
      <c r="D94" s="146"/>
      <c r="E94" s="146"/>
      <c r="F94" s="19" t="s">
        <v>79</v>
      </c>
      <c r="G94" s="197" t="s">
        <v>385</v>
      </c>
      <c r="H94" s="140" t="s">
        <v>652</v>
      </c>
      <c r="J94" s="176" t="b">
        <f>EXACT(G94,'Vh5205_C-97'!G94)</f>
        <v>1</v>
      </c>
    </row>
    <row r="95" spans="1:10" s="7" customFormat="1" x14ac:dyDescent="0.35">
      <c r="A95" s="90">
        <v>92</v>
      </c>
      <c r="B95" s="146" t="s">
        <v>698</v>
      </c>
      <c r="C95" s="146" t="s">
        <v>426</v>
      </c>
      <c r="D95" s="146"/>
      <c r="E95" s="146"/>
      <c r="F95" s="19" t="s">
        <v>79</v>
      </c>
      <c r="G95" s="205" t="s">
        <v>391</v>
      </c>
      <c r="H95" s="140" t="s">
        <v>652</v>
      </c>
      <c r="J95" s="176" t="b">
        <f>EXACT(G95,'Vh5205_C-97'!G95)</f>
        <v>1</v>
      </c>
    </row>
    <row r="96" spans="1:10" s="7" customFormat="1" x14ac:dyDescent="0.35">
      <c r="A96" s="90">
        <v>93</v>
      </c>
      <c r="B96" s="146" t="s">
        <v>698</v>
      </c>
      <c r="C96" s="146" t="s">
        <v>386</v>
      </c>
      <c r="D96" s="146"/>
      <c r="E96" s="146"/>
      <c r="F96" s="19" t="s">
        <v>26</v>
      </c>
      <c r="G96" s="198" t="s">
        <v>387</v>
      </c>
      <c r="H96" s="140" t="s">
        <v>652</v>
      </c>
      <c r="J96" s="176" t="b">
        <f>EXACT(G96,'Vh5205_C-97'!G96)</f>
        <v>1</v>
      </c>
    </row>
    <row r="97" spans="1:10" s="7" customFormat="1" x14ac:dyDescent="0.35">
      <c r="A97" s="90">
        <v>94</v>
      </c>
      <c r="B97" s="146" t="s">
        <v>698</v>
      </c>
      <c r="C97" s="146" t="s">
        <v>105</v>
      </c>
      <c r="D97" s="146"/>
      <c r="E97" s="146"/>
      <c r="F97" s="19" t="s">
        <v>26</v>
      </c>
      <c r="G97" s="161" t="s">
        <v>656</v>
      </c>
      <c r="H97" s="140" t="s">
        <v>652</v>
      </c>
      <c r="J97" s="176" t="b">
        <f>EXACT(G97,'Vh5205_C-97'!G97)</f>
        <v>1</v>
      </c>
    </row>
    <row r="98" spans="1:10" s="7" customFormat="1" x14ac:dyDescent="0.35">
      <c r="A98" s="90">
        <v>95</v>
      </c>
      <c r="B98" s="87" t="s">
        <v>698</v>
      </c>
      <c r="C98" s="87" t="s">
        <v>160</v>
      </c>
      <c r="D98" s="87"/>
      <c r="E98" s="87"/>
      <c r="F98" s="22" t="s">
        <v>79</v>
      </c>
      <c r="G98" s="194" t="s">
        <v>196</v>
      </c>
      <c r="H98" s="182" t="s">
        <v>652</v>
      </c>
      <c r="J98" s="176" t="b">
        <f>EXACT(G98,'Vh5205_C-97'!G98)</f>
        <v>1</v>
      </c>
    </row>
    <row r="99" spans="1:10" x14ac:dyDescent="0.35">
      <c r="A99" s="90">
        <v>96</v>
      </c>
      <c r="B99" s="10" t="s">
        <v>699</v>
      </c>
      <c r="C99" s="10" t="s">
        <v>428</v>
      </c>
      <c r="D99" s="146"/>
      <c r="E99" s="146"/>
      <c r="F99" s="20" t="s">
        <v>26</v>
      </c>
      <c r="G99" s="206" t="s">
        <v>196</v>
      </c>
      <c r="H99" s="140" t="s">
        <v>652</v>
      </c>
      <c r="J99" s="176" t="b">
        <f>EXACT(G99,'Vh5205_C-97'!G99)</f>
        <v>1</v>
      </c>
    </row>
    <row r="100" spans="1:10" x14ac:dyDescent="0.35">
      <c r="A100" s="90">
        <v>97</v>
      </c>
      <c r="B100" s="104" t="s">
        <v>699</v>
      </c>
      <c r="C100" s="104" t="s">
        <v>161</v>
      </c>
      <c r="D100" s="104"/>
      <c r="E100" s="104"/>
      <c r="F100" s="20" t="s">
        <v>79</v>
      </c>
      <c r="G100" s="192"/>
      <c r="H100" s="140"/>
      <c r="J100" s="1" t="b">
        <f>EXACT(G100,'Vh5205_C-97'!G100)</f>
        <v>1</v>
      </c>
    </row>
    <row r="101" spans="1:10" x14ac:dyDescent="0.35">
      <c r="A101" s="90">
        <v>98</v>
      </c>
      <c r="B101" s="104" t="s">
        <v>699</v>
      </c>
      <c r="C101" s="104" t="s">
        <v>272</v>
      </c>
      <c r="D101" s="104"/>
      <c r="E101" s="104"/>
      <c r="F101" s="20" t="s">
        <v>26</v>
      </c>
      <c r="G101" s="207">
        <v>44778</v>
      </c>
      <c r="H101" s="140" t="s">
        <v>652</v>
      </c>
      <c r="J101" s="176" t="b">
        <f>EXACT(G101,'Vh5205_C-97'!G101)</f>
        <v>1</v>
      </c>
    </row>
    <row r="102" spans="1:10" x14ac:dyDescent="0.35">
      <c r="A102" s="90">
        <v>99</v>
      </c>
      <c r="B102" s="104" t="s">
        <v>699</v>
      </c>
      <c r="C102" s="104" t="s">
        <v>271</v>
      </c>
      <c r="D102" s="104"/>
      <c r="E102" s="104"/>
      <c r="F102" s="20" t="s">
        <v>26</v>
      </c>
      <c r="G102" s="161" t="s">
        <v>503</v>
      </c>
      <c r="H102" s="140" t="s">
        <v>652</v>
      </c>
      <c r="J102" s="176" t="b">
        <f>EXACT(G102,'Vh5205_C-97'!G102)</f>
        <v>1</v>
      </c>
    </row>
    <row r="103" spans="1:10" x14ac:dyDescent="0.35">
      <c r="A103" s="90">
        <v>100</v>
      </c>
      <c r="B103" s="10" t="s">
        <v>699</v>
      </c>
      <c r="C103" s="10" t="s">
        <v>120</v>
      </c>
      <c r="D103" s="146"/>
      <c r="E103" s="146"/>
      <c r="F103" s="20" t="s">
        <v>26</v>
      </c>
      <c r="G103" s="192" t="s">
        <v>270</v>
      </c>
      <c r="H103" s="140" t="s">
        <v>652</v>
      </c>
      <c r="J103" s="176" t="b">
        <f>EXACT(G103,'Vh5205_C-97'!G103)</f>
        <v>1</v>
      </c>
    </row>
    <row r="104" spans="1:10" x14ac:dyDescent="0.35">
      <c r="A104" s="90">
        <v>101</v>
      </c>
      <c r="B104" s="10" t="s">
        <v>699</v>
      </c>
      <c r="C104" s="10" t="s">
        <v>119</v>
      </c>
      <c r="D104" s="146"/>
      <c r="E104" s="146"/>
      <c r="F104" s="20" t="s">
        <v>26</v>
      </c>
      <c r="G104" s="161">
        <v>1</v>
      </c>
      <c r="H104" s="140" t="s">
        <v>652</v>
      </c>
      <c r="J104" s="176" t="b">
        <f>EXACT(G104,'Vh5205_C-97'!G104)</f>
        <v>1</v>
      </c>
    </row>
    <row r="105" spans="1:10" x14ac:dyDescent="0.35">
      <c r="A105" s="90">
        <v>102</v>
      </c>
      <c r="B105" s="10" t="s">
        <v>699</v>
      </c>
      <c r="C105" s="10" t="s">
        <v>121</v>
      </c>
      <c r="D105" s="146"/>
      <c r="E105" s="146" t="s">
        <v>0</v>
      </c>
      <c r="F105" s="20" t="s">
        <v>26</v>
      </c>
      <c r="G105" s="161" t="s">
        <v>487</v>
      </c>
      <c r="H105" s="140" t="s">
        <v>652</v>
      </c>
      <c r="J105" s="176" t="b">
        <f>EXACT(G105,'Vh5205_C-97'!G105)</f>
        <v>1</v>
      </c>
    </row>
    <row r="106" spans="1:10" x14ac:dyDescent="0.35">
      <c r="A106" s="90">
        <v>103</v>
      </c>
      <c r="B106" s="13" t="s">
        <v>699</v>
      </c>
      <c r="C106" s="13" t="s">
        <v>430</v>
      </c>
      <c r="D106" s="87"/>
      <c r="E106" s="87"/>
      <c r="F106" s="22" t="s">
        <v>26</v>
      </c>
      <c r="G106" s="194" t="s">
        <v>196</v>
      </c>
      <c r="H106" s="182" t="s">
        <v>652</v>
      </c>
      <c r="J106" s="176" t="b">
        <f>EXACT(G106,'Vh5205_C-97'!G106)</f>
        <v>1</v>
      </c>
    </row>
    <row r="107" spans="1:10" x14ac:dyDescent="0.35">
      <c r="A107" s="90">
        <v>104</v>
      </c>
      <c r="B107" s="10" t="s">
        <v>700</v>
      </c>
      <c r="C107" s="10" t="s">
        <v>458</v>
      </c>
      <c r="D107" s="146"/>
      <c r="E107" s="146"/>
      <c r="F107" s="20" t="s">
        <v>26</v>
      </c>
      <c r="G107" s="197" t="s">
        <v>196</v>
      </c>
      <c r="H107" s="140" t="s">
        <v>652</v>
      </c>
      <c r="J107" s="176" t="b">
        <f>EXACT(G107,'Vh5205_C-97'!G107)</f>
        <v>1</v>
      </c>
    </row>
    <row r="108" spans="1:10" ht="31" x14ac:dyDescent="0.35">
      <c r="A108" s="90">
        <v>105</v>
      </c>
      <c r="B108" s="104" t="s">
        <v>700</v>
      </c>
      <c r="C108" s="104" t="s">
        <v>459</v>
      </c>
      <c r="D108" s="104"/>
      <c r="E108" s="104"/>
      <c r="F108" s="20" t="s">
        <v>26</v>
      </c>
      <c r="G108" s="161" t="s">
        <v>609</v>
      </c>
      <c r="H108" s="140" t="s">
        <v>652</v>
      </c>
      <c r="J108" s="176" t="b">
        <f>EXACT(G108,'Vh5205_C-97'!G108)</f>
        <v>1</v>
      </c>
    </row>
    <row r="109" spans="1:10" x14ac:dyDescent="0.35">
      <c r="A109" s="90">
        <v>106</v>
      </c>
      <c r="B109" s="104" t="s">
        <v>700</v>
      </c>
      <c r="C109" s="104" t="s">
        <v>161</v>
      </c>
      <c r="D109" s="104"/>
      <c r="E109" s="104"/>
      <c r="F109" s="20" t="s">
        <v>79</v>
      </c>
      <c r="G109" s="161" t="s">
        <v>539</v>
      </c>
      <c r="H109" s="140" t="s">
        <v>652</v>
      </c>
      <c r="J109" s="176" t="b">
        <f>EXACT(G109,'Vh5205_C-97'!G109)</f>
        <v>1</v>
      </c>
    </row>
    <row r="110" spans="1:10" x14ac:dyDescent="0.35">
      <c r="A110" s="90">
        <v>107</v>
      </c>
      <c r="B110" s="104" t="s">
        <v>700</v>
      </c>
      <c r="C110" s="104" t="s">
        <v>272</v>
      </c>
      <c r="D110" s="104"/>
      <c r="E110" s="104"/>
      <c r="F110" s="20" t="s">
        <v>26</v>
      </c>
      <c r="G110" s="207">
        <v>45098</v>
      </c>
      <c r="H110" s="140" t="s">
        <v>652</v>
      </c>
      <c r="J110" s="176" t="b">
        <f>EXACT(G110,'Vh5205_C-97'!G110)</f>
        <v>1</v>
      </c>
    </row>
    <row r="111" spans="1:10" x14ac:dyDescent="0.35">
      <c r="A111" s="90">
        <v>108</v>
      </c>
      <c r="B111" s="104" t="s">
        <v>700</v>
      </c>
      <c r="C111" s="104" t="s">
        <v>271</v>
      </c>
      <c r="D111" s="104"/>
      <c r="E111" s="104"/>
      <c r="F111" s="20" t="s">
        <v>26</v>
      </c>
      <c r="G111" s="192" t="s">
        <v>504</v>
      </c>
      <c r="H111" s="140" t="s">
        <v>652</v>
      </c>
      <c r="J111" s="176" t="b">
        <f>EXACT(G111,'Vh5205_C-97'!G111)</f>
        <v>1</v>
      </c>
    </row>
    <row r="112" spans="1:10" x14ac:dyDescent="0.35">
      <c r="A112" s="90">
        <v>109</v>
      </c>
      <c r="B112" s="10" t="s">
        <v>700</v>
      </c>
      <c r="C112" s="10" t="s">
        <v>120</v>
      </c>
      <c r="D112" s="146"/>
      <c r="E112" s="146"/>
      <c r="F112" s="20" t="s">
        <v>26</v>
      </c>
      <c r="G112" s="192" t="s">
        <v>524</v>
      </c>
      <c r="H112" s="140" t="s">
        <v>652</v>
      </c>
      <c r="J112" s="176" t="b">
        <f>EXACT(G112,'Vh5205_C-97'!G112)</f>
        <v>1</v>
      </c>
    </row>
    <row r="113" spans="1:10" x14ac:dyDescent="0.35">
      <c r="A113" s="90">
        <v>110</v>
      </c>
      <c r="B113" s="10" t="s">
        <v>700</v>
      </c>
      <c r="C113" s="10" t="s">
        <v>119</v>
      </c>
      <c r="D113" s="146"/>
      <c r="E113" s="146"/>
      <c r="F113" s="20" t="s">
        <v>26</v>
      </c>
      <c r="G113" s="192" t="s">
        <v>524</v>
      </c>
      <c r="H113" s="140" t="s">
        <v>652</v>
      </c>
      <c r="J113" s="176" t="b">
        <f>EXACT(G113,'Vh5205_C-97'!G113)</f>
        <v>1</v>
      </c>
    </row>
    <row r="114" spans="1:10" x14ac:dyDescent="0.35">
      <c r="A114" s="90">
        <v>111</v>
      </c>
      <c r="B114" s="13" t="s">
        <v>700</v>
      </c>
      <c r="C114" s="13" t="s">
        <v>121</v>
      </c>
      <c r="D114" s="87"/>
      <c r="E114" s="87" t="s">
        <v>0</v>
      </c>
      <c r="F114" s="21" t="s">
        <v>26</v>
      </c>
      <c r="G114" s="194" t="s">
        <v>505</v>
      </c>
      <c r="H114" s="182" t="s">
        <v>652</v>
      </c>
      <c r="J114" s="176" t="b">
        <f>EXACT(G114,'Vh5205_C-97'!G114)</f>
        <v>1</v>
      </c>
    </row>
    <row r="115" spans="1:10" x14ac:dyDescent="0.35">
      <c r="A115" s="90">
        <v>112</v>
      </c>
      <c r="B115" s="102" t="s">
        <v>701</v>
      </c>
      <c r="C115" s="102" t="s">
        <v>308</v>
      </c>
      <c r="D115" s="146"/>
      <c r="E115" s="146"/>
      <c r="F115" s="39" t="s">
        <v>26</v>
      </c>
      <c r="G115" s="197" t="s">
        <v>347</v>
      </c>
      <c r="H115" s="140" t="s">
        <v>652</v>
      </c>
      <c r="J115" s="176" t="b">
        <f>EXACT(G115,'Vh5205_C-97'!G115)</f>
        <v>1</v>
      </c>
    </row>
    <row r="116" spans="1:10" s="7" customFormat="1" x14ac:dyDescent="0.35">
      <c r="A116" s="90">
        <v>113</v>
      </c>
      <c r="B116" s="13" t="s">
        <v>701</v>
      </c>
      <c r="C116" s="13" t="s">
        <v>163</v>
      </c>
      <c r="D116" s="87"/>
      <c r="E116" s="87"/>
      <c r="F116" s="22" t="s">
        <v>26</v>
      </c>
      <c r="G116" s="194" t="s">
        <v>196</v>
      </c>
      <c r="H116" s="182" t="s">
        <v>652</v>
      </c>
      <c r="J116" s="176" t="b">
        <f>EXACT(G116,'Vh5205_C-97'!G116)</f>
        <v>1</v>
      </c>
    </row>
    <row r="117" spans="1:10" s="7" customFormat="1" x14ac:dyDescent="0.35">
      <c r="A117" s="90">
        <v>114</v>
      </c>
      <c r="B117" s="102" t="s">
        <v>702</v>
      </c>
      <c r="C117" s="102" t="s">
        <v>164</v>
      </c>
      <c r="D117" s="100"/>
      <c r="E117" s="100"/>
      <c r="F117" s="18" t="s">
        <v>26</v>
      </c>
      <c r="G117" s="206" t="s">
        <v>196</v>
      </c>
      <c r="H117" s="140" t="s">
        <v>652</v>
      </c>
      <c r="J117" s="176" t="b">
        <f>EXACT(G117,'Vh5205_C-97'!G117)</f>
        <v>1</v>
      </c>
    </row>
    <row r="118" spans="1:10" s="7" customFormat="1" x14ac:dyDescent="0.35">
      <c r="A118" s="90">
        <v>115</v>
      </c>
      <c r="B118" s="13" t="s">
        <v>702</v>
      </c>
      <c r="C118" s="13" t="s">
        <v>191</v>
      </c>
      <c r="D118" s="87"/>
      <c r="E118" s="87"/>
      <c r="F118" s="22" t="s">
        <v>79</v>
      </c>
      <c r="G118" s="194" t="s">
        <v>196</v>
      </c>
      <c r="H118" s="182" t="s">
        <v>652</v>
      </c>
      <c r="J118" s="176" t="b">
        <f>EXACT(G118,'Vh5205_C-97'!G118)</f>
        <v>1</v>
      </c>
    </row>
    <row r="119" spans="1:10" s="7" customFormat="1" x14ac:dyDescent="0.35">
      <c r="A119" s="90">
        <v>116</v>
      </c>
      <c r="B119" s="146" t="s">
        <v>703</v>
      </c>
      <c r="C119" s="146" t="s">
        <v>106</v>
      </c>
      <c r="D119" s="146"/>
      <c r="E119" s="146"/>
      <c r="F119" s="19" t="s">
        <v>26</v>
      </c>
      <c r="G119" s="197" t="s">
        <v>488</v>
      </c>
      <c r="H119" s="140" t="s">
        <v>652</v>
      </c>
      <c r="J119" s="176" t="b">
        <f>EXACT(G119,'Vh5205_C-97'!G119)</f>
        <v>1</v>
      </c>
    </row>
    <row r="120" spans="1:10" x14ac:dyDescent="0.35">
      <c r="A120" s="90">
        <v>117</v>
      </c>
      <c r="B120" s="146" t="s">
        <v>703</v>
      </c>
      <c r="C120" s="146" t="s">
        <v>434</v>
      </c>
      <c r="D120" s="5"/>
      <c r="E120" s="5"/>
      <c r="F120" s="19" t="s">
        <v>26</v>
      </c>
      <c r="G120" s="161" t="s">
        <v>506</v>
      </c>
      <c r="H120" s="140" t="s">
        <v>652</v>
      </c>
      <c r="J120" s="176" t="b">
        <f>EXACT(G120,'Vh5205_C-97'!G120)</f>
        <v>1</v>
      </c>
    </row>
    <row r="121" spans="1:10" ht="31" x14ac:dyDescent="0.35">
      <c r="A121" s="90">
        <v>118</v>
      </c>
      <c r="B121" s="87" t="s">
        <v>703</v>
      </c>
      <c r="C121" s="87" t="s">
        <v>350</v>
      </c>
      <c r="D121" s="93"/>
      <c r="E121" s="93"/>
      <c r="F121" s="22" t="s">
        <v>26</v>
      </c>
      <c r="G121" s="194" t="s">
        <v>196</v>
      </c>
      <c r="H121" s="182" t="s">
        <v>652</v>
      </c>
      <c r="J121" s="176" t="b">
        <f>EXACT(G121,'Vh5205_C-97'!G121)</f>
        <v>1</v>
      </c>
    </row>
    <row r="122" spans="1:10" x14ac:dyDescent="0.35">
      <c r="A122" s="90">
        <v>119</v>
      </c>
      <c r="B122" s="5" t="s">
        <v>704</v>
      </c>
      <c r="C122" s="5" t="s">
        <v>135</v>
      </c>
      <c r="D122" s="5"/>
      <c r="E122" s="5"/>
      <c r="F122" s="19" t="s">
        <v>26</v>
      </c>
      <c r="G122" s="206" t="s">
        <v>269</v>
      </c>
      <c r="H122" s="140" t="s">
        <v>652</v>
      </c>
      <c r="J122" s="176" t="b">
        <f>EXACT(G122,'Vh5205_C-97'!G122)</f>
        <v>1</v>
      </c>
    </row>
    <row r="123" spans="1:10" s="7" customFormat="1" ht="46.5" x14ac:dyDescent="0.35">
      <c r="A123" s="90">
        <v>120</v>
      </c>
      <c r="B123" s="146" t="s">
        <v>704</v>
      </c>
      <c r="C123" s="146" t="s">
        <v>316</v>
      </c>
      <c r="D123" s="146"/>
      <c r="E123" s="146"/>
      <c r="F123" s="19" t="s">
        <v>79</v>
      </c>
      <c r="G123" s="161" t="s">
        <v>528</v>
      </c>
      <c r="H123" s="177"/>
      <c r="J123" s="1" t="b">
        <f>EXACT(G123,'Vh5205_C-97'!G123)</f>
        <v>1</v>
      </c>
    </row>
    <row r="124" spans="1:10" x14ac:dyDescent="0.35">
      <c r="A124" s="90">
        <v>121</v>
      </c>
      <c r="B124" s="5" t="s">
        <v>704</v>
      </c>
      <c r="C124" s="5" t="s">
        <v>354</v>
      </c>
      <c r="D124" s="5"/>
      <c r="E124" s="5"/>
      <c r="F124" s="19" t="s">
        <v>26</v>
      </c>
      <c r="G124" s="161" t="s">
        <v>205</v>
      </c>
      <c r="H124" s="164" t="s">
        <v>652</v>
      </c>
      <c r="J124" s="176" t="b">
        <f>EXACT(G124,'Vh5205_C-97'!G124)</f>
        <v>1</v>
      </c>
    </row>
    <row r="125" spans="1:10" x14ac:dyDescent="0.35">
      <c r="A125" s="90">
        <v>122</v>
      </c>
      <c r="B125" s="5" t="s">
        <v>704</v>
      </c>
      <c r="C125" s="5" t="s">
        <v>139</v>
      </c>
      <c r="D125" s="5"/>
      <c r="E125" s="5" t="s">
        <v>2</v>
      </c>
      <c r="F125" s="19" t="s">
        <v>79</v>
      </c>
      <c r="G125" s="192" t="s">
        <v>489</v>
      </c>
      <c r="H125" s="164" t="s">
        <v>652</v>
      </c>
      <c r="J125" s="176" t="b">
        <f>EXACT(G125,'Vh5205_C-97'!G125)</f>
        <v>1</v>
      </c>
    </row>
    <row r="126" spans="1:10" x14ac:dyDescent="0.35">
      <c r="A126" s="90">
        <v>123</v>
      </c>
      <c r="B126" s="5" t="s">
        <v>704</v>
      </c>
      <c r="C126" s="5" t="s">
        <v>140</v>
      </c>
      <c r="D126" s="5"/>
      <c r="E126" s="5"/>
      <c r="F126" s="19" t="s">
        <v>79</v>
      </c>
      <c r="G126" s="192" t="s">
        <v>538</v>
      </c>
      <c r="H126" s="164" t="s">
        <v>652</v>
      </c>
      <c r="J126" s="176" t="b">
        <f>EXACT(G126,'Vh5205_C-97'!G126)</f>
        <v>1</v>
      </c>
    </row>
    <row r="127" spans="1:10" s="7" customFormat="1" x14ac:dyDescent="0.35">
      <c r="A127" s="90">
        <v>124</v>
      </c>
      <c r="B127" s="10" t="s">
        <v>704</v>
      </c>
      <c r="C127" s="10" t="s">
        <v>122</v>
      </c>
      <c r="D127" s="146"/>
      <c r="E127" s="146"/>
      <c r="F127" s="20" t="s">
        <v>26</v>
      </c>
      <c r="G127" s="161" t="s">
        <v>196</v>
      </c>
      <c r="H127" s="164" t="s">
        <v>652</v>
      </c>
      <c r="J127" s="176" t="b">
        <f>EXACT(G127,'Vh5205_C-97'!G127)</f>
        <v>1</v>
      </c>
    </row>
    <row r="128" spans="1:10" x14ac:dyDescent="0.35">
      <c r="A128" s="90">
        <v>125</v>
      </c>
      <c r="B128" s="5" t="s">
        <v>704</v>
      </c>
      <c r="C128" s="5" t="s">
        <v>137</v>
      </c>
      <c r="D128" s="5"/>
      <c r="E128" s="5"/>
      <c r="F128" s="19" t="s">
        <v>26</v>
      </c>
      <c r="G128" s="192" t="s">
        <v>359</v>
      </c>
      <c r="H128" s="164" t="s">
        <v>652</v>
      </c>
      <c r="J128" s="176" t="b">
        <f>EXACT(G128,'Vh5205_C-97'!G128)</f>
        <v>1</v>
      </c>
    </row>
    <row r="129" spans="1:10" s="7" customFormat="1" x14ac:dyDescent="0.35">
      <c r="A129" s="90">
        <v>126</v>
      </c>
      <c r="B129" s="146" t="s">
        <v>704</v>
      </c>
      <c r="C129" s="146" t="s">
        <v>120</v>
      </c>
      <c r="D129" s="146"/>
      <c r="E129" s="146"/>
      <c r="F129" s="20" t="s">
        <v>26</v>
      </c>
      <c r="G129" s="161" t="s">
        <v>490</v>
      </c>
      <c r="H129" s="164" t="s">
        <v>652</v>
      </c>
      <c r="J129" s="176" t="b">
        <f>EXACT(G129,'Vh5205_C-97'!G129)</f>
        <v>1</v>
      </c>
    </row>
    <row r="130" spans="1:10" s="7" customFormat="1" x14ac:dyDescent="0.35">
      <c r="A130" s="90">
        <v>127</v>
      </c>
      <c r="B130" s="104" t="s">
        <v>704</v>
      </c>
      <c r="C130" s="104" t="s">
        <v>161</v>
      </c>
      <c r="D130" s="146"/>
      <c r="E130" s="146"/>
      <c r="F130" s="20" t="s">
        <v>79</v>
      </c>
      <c r="G130" s="161" t="s">
        <v>539</v>
      </c>
      <c r="H130" s="164" t="s">
        <v>652</v>
      </c>
      <c r="J130" s="176" t="b">
        <f>EXACT(G130,'Vh5205_C-97'!G130)</f>
        <v>1</v>
      </c>
    </row>
    <row r="131" spans="1:10" s="7" customFormat="1" x14ac:dyDescent="0.35">
      <c r="A131" s="90">
        <v>128</v>
      </c>
      <c r="B131" s="104" t="s">
        <v>704</v>
      </c>
      <c r="C131" s="104" t="s">
        <v>358</v>
      </c>
      <c r="D131" s="146"/>
      <c r="E131" s="146"/>
      <c r="F131" s="20" t="s">
        <v>26</v>
      </c>
      <c r="G131" s="195">
        <v>44781</v>
      </c>
      <c r="H131" s="177"/>
      <c r="J131" s="1" t="b">
        <f>EXACT(G131,'Vh5205_C-97'!G131)</f>
        <v>1</v>
      </c>
    </row>
    <row r="132" spans="1:10" s="7" customFormat="1" x14ac:dyDescent="0.35">
      <c r="A132" s="90">
        <v>129</v>
      </c>
      <c r="B132" s="104" t="s">
        <v>704</v>
      </c>
      <c r="C132" s="104" t="s">
        <v>271</v>
      </c>
      <c r="D132" s="146"/>
      <c r="E132" s="146"/>
      <c r="F132" s="20" t="s">
        <v>26</v>
      </c>
      <c r="G132" s="161" t="s">
        <v>504</v>
      </c>
      <c r="H132" s="177" t="s">
        <v>652</v>
      </c>
      <c r="J132" s="176" t="b">
        <f>EXACT(G132,'Vh5205_C-97'!G132)</f>
        <v>1</v>
      </c>
    </row>
    <row r="133" spans="1:10" ht="46.5" x14ac:dyDescent="0.35">
      <c r="A133" s="90">
        <v>130</v>
      </c>
      <c r="B133" s="91" t="s">
        <v>704</v>
      </c>
      <c r="C133" s="91" t="s">
        <v>315</v>
      </c>
      <c r="D133" s="5"/>
      <c r="E133" s="5" t="s">
        <v>85</v>
      </c>
      <c r="F133" s="19" t="s">
        <v>79</v>
      </c>
      <c r="G133" s="198" t="s">
        <v>525</v>
      </c>
      <c r="H133" s="177" t="s">
        <v>652</v>
      </c>
      <c r="J133" s="176" t="b">
        <f>EXACT(G133,'Vh5205_C-97'!G133)</f>
        <v>1</v>
      </c>
    </row>
    <row r="134" spans="1:10" s="7" customFormat="1" x14ac:dyDescent="0.35">
      <c r="A134" s="90">
        <v>131</v>
      </c>
      <c r="B134" s="146" t="s">
        <v>704</v>
      </c>
      <c r="C134" s="146" t="s">
        <v>121</v>
      </c>
      <c r="D134" s="146"/>
      <c r="E134" s="146" t="s">
        <v>85</v>
      </c>
      <c r="F134" s="20" t="s">
        <v>26</v>
      </c>
      <c r="G134" s="161" t="s">
        <v>491</v>
      </c>
      <c r="H134" s="177" t="s">
        <v>652</v>
      </c>
      <c r="J134" s="176" t="b">
        <f>EXACT(G134,'Vh5205_C-97'!G134)</f>
        <v>1</v>
      </c>
    </row>
    <row r="135" spans="1:10" x14ac:dyDescent="0.35">
      <c r="A135" s="90">
        <v>132</v>
      </c>
      <c r="B135" s="5" t="s">
        <v>704</v>
      </c>
      <c r="C135" s="5" t="s">
        <v>165</v>
      </c>
      <c r="D135" s="5"/>
      <c r="E135" s="5"/>
      <c r="F135" s="19" t="s">
        <v>26</v>
      </c>
      <c r="G135" s="192" t="s">
        <v>540</v>
      </c>
      <c r="H135" s="177" t="s">
        <v>652</v>
      </c>
      <c r="J135" s="176" t="b">
        <f>EXACT(G135,'Vh5205_C-97'!G135)</f>
        <v>1</v>
      </c>
    </row>
    <row r="136" spans="1:10" x14ac:dyDescent="0.35">
      <c r="A136" s="90">
        <v>133</v>
      </c>
      <c r="B136" s="5" t="s">
        <v>704</v>
      </c>
      <c r="C136" s="5" t="s">
        <v>166</v>
      </c>
      <c r="D136" s="5"/>
      <c r="E136" s="5"/>
      <c r="F136" s="19" t="s">
        <v>26</v>
      </c>
      <c r="G136" s="161">
        <v>3</v>
      </c>
      <c r="H136" s="177" t="s">
        <v>652</v>
      </c>
      <c r="J136" s="176" t="b">
        <f>EXACT(G136,'Vh5205_C-97'!G136)</f>
        <v>1</v>
      </c>
    </row>
    <row r="137" spans="1:10" x14ac:dyDescent="0.35">
      <c r="A137" s="90">
        <v>134</v>
      </c>
      <c r="B137" s="5" t="s">
        <v>704</v>
      </c>
      <c r="C137" s="5" t="s">
        <v>141</v>
      </c>
      <c r="D137" s="5"/>
      <c r="E137" s="5"/>
      <c r="F137" s="19" t="s">
        <v>26</v>
      </c>
      <c r="G137" s="161" t="s">
        <v>522</v>
      </c>
      <c r="H137" s="177" t="s">
        <v>652</v>
      </c>
      <c r="J137" s="176" t="b">
        <f>EXACT(G137,'Vh5205_C-97'!G137)</f>
        <v>1</v>
      </c>
    </row>
    <row r="138" spans="1:10" s="7" customFormat="1" x14ac:dyDescent="0.35">
      <c r="A138" s="90"/>
      <c r="B138" s="114" t="s">
        <v>704</v>
      </c>
      <c r="C138" s="114"/>
      <c r="D138" s="87"/>
      <c r="E138" s="87"/>
      <c r="F138" s="21"/>
      <c r="G138" s="196"/>
      <c r="H138" s="180"/>
      <c r="J138" s="1" t="b">
        <f>EXACT(G138,'Vh5205_C-97'!G138)</f>
        <v>1</v>
      </c>
    </row>
    <row r="139" spans="1:10" s="7" customFormat="1" x14ac:dyDescent="0.35">
      <c r="A139" s="90">
        <v>135</v>
      </c>
      <c r="B139" s="10" t="s">
        <v>705</v>
      </c>
      <c r="C139" s="10" t="s">
        <v>142</v>
      </c>
      <c r="D139" s="146"/>
      <c r="E139" s="146"/>
      <c r="F139" s="20" t="s">
        <v>26</v>
      </c>
      <c r="G139" s="192" t="s">
        <v>196</v>
      </c>
      <c r="H139" s="177" t="s">
        <v>652</v>
      </c>
      <c r="J139" s="176" t="b">
        <f>EXACT(G139,'Vh5205_C-97'!G139)</f>
        <v>1</v>
      </c>
    </row>
    <row r="140" spans="1:10" x14ac:dyDescent="0.35">
      <c r="A140" s="90">
        <v>136</v>
      </c>
      <c r="B140" s="5" t="s">
        <v>705</v>
      </c>
      <c r="C140" s="5" t="s">
        <v>138</v>
      </c>
      <c r="D140" s="5"/>
      <c r="E140" s="5"/>
      <c r="F140" s="19" t="s">
        <v>79</v>
      </c>
      <c r="G140" s="161" t="s">
        <v>526</v>
      </c>
      <c r="H140" s="177" t="s">
        <v>652</v>
      </c>
      <c r="J140" s="176" t="b">
        <f>EXACT(G140,'Vh5205_C-97'!G140)</f>
        <v>1</v>
      </c>
    </row>
    <row r="141" spans="1:10" x14ac:dyDescent="0.35">
      <c r="A141" s="90">
        <v>137</v>
      </c>
      <c r="B141" s="104" t="s">
        <v>705</v>
      </c>
      <c r="C141" s="104" t="s">
        <v>161</v>
      </c>
      <c r="D141" s="104"/>
      <c r="E141" s="104"/>
      <c r="F141" s="19" t="s">
        <v>79</v>
      </c>
      <c r="G141" s="161" t="s">
        <v>539</v>
      </c>
      <c r="H141" s="177" t="s">
        <v>652</v>
      </c>
      <c r="J141" s="176" t="b">
        <f>EXACT(G141,'Vh5205_C-97'!G141)</f>
        <v>1</v>
      </c>
    </row>
    <row r="142" spans="1:10" x14ac:dyDescent="0.35">
      <c r="A142" s="90">
        <v>138</v>
      </c>
      <c r="B142" s="104" t="s">
        <v>705</v>
      </c>
      <c r="C142" s="104" t="s">
        <v>358</v>
      </c>
      <c r="D142" s="104"/>
      <c r="E142" s="104"/>
      <c r="F142" s="20" t="s">
        <v>26</v>
      </c>
      <c r="G142" s="195">
        <v>44754</v>
      </c>
      <c r="H142" s="140"/>
      <c r="J142" s="1" t="b">
        <f>EXACT(G142,'Vh5205_C-97'!G142)</f>
        <v>1</v>
      </c>
    </row>
    <row r="143" spans="1:10" x14ac:dyDescent="0.35">
      <c r="A143" s="90">
        <v>139</v>
      </c>
      <c r="B143" s="104" t="s">
        <v>705</v>
      </c>
      <c r="C143" s="104" t="s">
        <v>271</v>
      </c>
      <c r="D143" s="104"/>
      <c r="E143" s="104"/>
      <c r="F143" s="20" t="s">
        <v>26</v>
      </c>
      <c r="G143" s="161" t="s">
        <v>492</v>
      </c>
      <c r="H143" s="177" t="s">
        <v>652</v>
      </c>
      <c r="J143" s="176" t="b">
        <f>EXACT(G143,'Vh5205_C-97'!G143)</f>
        <v>1</v>
      </c>
    </row>
    <row r="144" spans="1:10" x14ac:dyDescent="0.35">
      <c r="A144" s="90">
        <v>140</v>
      </c>
      <c r="B144" s="5" t="s">
        <v>705</v>
      </c>
      <c r="C144" s="5" t="s">
        <v>137</v>
      </c>
      <c r="D144" s="5"/>
      <c r="E144" s="5"/>
      <c r="F144" s="19" t="s">
        <v>26</v>
      </c>
      <c r="G144" s="161" t="s">
        <v>493</v>
      </c>
      <c r="H144" s="177" t="s">
        <v>652</v>
      </c>
      <c r="J144" s="176" t="b">
        <f>EXACT(G144,'Vh5205_C-97'!G144)</f>
        <v>1</v>
      </c>
    </row>
    <row r="145" spans="1:10" x14ac:dyDescent="0.35">
      <c r="A145" s="90">
        <v>141</v>
      </c>
      <c r="B145" s="146" t="s">
        <v>705</v>
      </c>
      <c r="C145" s="146" t="s">
        <v>120</v>
      </c>
      <c r="D145" s="146"/>
      <c r="E145" s="146"/>
      <c r="F145" s="19" t="s">
        <v>26</v>
      </c>
      <c r="G145" s="161" t="s">
        <v>273</v>
      </c>
      <c r="H145" s="177" t="s">
        <v>652</v>
      </c>
      <c r="J145" s="176" t="b">
        <f>EXACT(G145,'Vh5205_C-97'!G145)</f>
        <v>1</v>
      </c>
    </row>
    <row r="146" spans="1:10" x14ac:dyDescent="0.35">
      <c r="A146" s="90">
        <v>142</v>
      </c>
      <c r="B146" s="91" t="s">
        <v>705</v>
      </c>
      <c r="C146" s="91" t="s">
        <v>315</v>
      </c>
      <c r="D146" s="5"/>
      <c r="E146" s="5" t="s">
        <v>85</v>
      </c>
      <c r="F146" s="19" t="s">
        <v>79</v>
      </c>
      <c r="G146" s="198" t="s">
        <v>532</v>
      </c>
      <c r="H146" s="140"/>
      <c r="J146" s="1" t="b">
        <f>EXACT(G146,'Vh5205_C-97'!G146)</f>
        <v>1</v>
      </c>
    </row>
    <row r="147" spans="1:10" x14ac:dyDescent="0.35">
      <c r="A147" s="90">
        <v>143</v>
      </c>
      <c r="B147" s="87" t="s">
        <v>705</v>
      </c>
      <c r="C147" s="87" t="s">
        <v>121</v>
      </c>
      <c r="D147" s="93"/>
      <c r="E147" s="87" t="s">
        <v>85</v>
      </c>
      <c r="F147" s="22" t="s">
        <v>26</v>
      </c>
      <c r="G147" s="196" t="s">
        <v>274</v>
      </c>
      <c r="H147" s="180" t="s">
        <v>652</v>
      </c>
      <c r="J147" s="176" t="b">
        <f>EXACT(G147,'Vh5205_C-97'!G147)</f>
        <v>1</v>
      </c>
    </row>
    <row r="148" spans="1:10" x14ac:dyDescent="0.35">
      <c r="A148" s="90">
        <v>144</v>
      </c>
      <c r="B148" s="111" t="s">
        <v>706</v>
      </c>
      <c r="C148" s="111" t="s">
        <v>287</v>
      </c>
      <c r="D148" s="111"/>
      <c r="E148" s="111"/>
      <c r="F148" s="18" t="s">
        <v>26</v>
      </c>
      <c r="G148" s="197" t="s">
        <v>281</v>
      </c>
      <c r="H148" s="177" t="s">
        <v>652</v>
      </c>
      <c r="J148" s="176" t="b">
        <f>EXACT(G148,'Vh5205_C-97'!G148)</f>
        <v>1</v>
      </c>
    </row>
    <row r="149" spans="1:10" x14ac:dyDescent="0.35">
      <c r="A149" s="90">
        <v>145</v>
      </c>
      <c r="B149" s="5" t="s">
        <v>706</v>
      </c>
      <c r="C149" s="5" t="s">
        <v>366</v>
      </c>
      <c r="D149" s="5"/>
      <c r="E149" s="5"/>
      <c r="F149" s="19" t="s">
        <v>26</v>
      </c>
      <c r="G149" s="161" t="s">
        <v>288</v>
      </c>
      <c r="H149" s="177" t="s">
        <v>652</v>
      </c>
      <c r="J149" s="176" t="b">
        <f>EXACT(G149,'Vh5205_C-97'!G149)</f>
        <v>1</v>
      </c>
    </row>
    <row r="150" spans="1:10" x14ac:dyDescent="0.35">
      <c r="A150" s="90">
        <v>146</v>
      </c>
      <c r="B150" s="93" t="s">
        <v>706</v>
      </c>
      <c r="C150" s="93" t="s">
        <v>367</v>
      </c>
      <c r="D150" s="93"/>
      <c r="E150" s="93"/>
      <c r="F150" s="22" t="s">
        <v>26</v>
      </c>
      <c r="G150" s="194" t="s">
        <v>524</v>
      </c>
      <c r="H150" s="180" t="s">
        <v>652</v>
      </c>
      <c r="J150" s="176" t="b">
        <f>EXACT(G150,'Vh5205_C-97'!G150)</f>
        <v>1</v>
      </c>
    </row>
    <row r="151" spans="1:10" s="7" customFormat="1" x14ac:dyDescent="0.35">
      <c r="A151" s="90">
        <v>147</v>
      </c>
      <c r="B151" s="100" t="s">
        <v>707</v>
      </c>
      <c r="C151" s="100" t="s">
        <v>169</v>
      </c>
      <c r="D151" s="146"/>
      <c r="E151" s="146"/>
      <c r="F151" s="19" t="s">
        <v>26</v>
      </c>
      <c r="G151" s="206" t="s">
        <v>541</v>
      </c>
      <c r="H151" s="177" t="s">
        <v>652</v>
      </c>
      <c r="J151" s="176" t="b">
        <f>EXACT(G151,'Vh5205_C-97'!G151)</f>
        <v>1</v>
      </c>
    </row>
    <row r="152" spans="1:10" s="7" customFormat="1" x14ac:dyDescent="0.35">
      <c r="A152" s="90">
        <v>148</v>
      </c>
      <c r="B152" s="146" t="s">
        <v>707</v>
      </c>
      <c r="C152" s="146" t="s">
        <v>192</v>
      </c>
      <c r="D152" s="146"/>
      <c r="E152" s="146"/>
      <c r="F152" s="19" t="s">
        <v>26</v>
      </c>
      <c r="G152" s="192" t="s">
        <v>542</v>
      </c>
      <c r="H152" s="177" t="s">
        <v>652</v>
      </c>
      <c r="J152" s="176" t="b">
        <f>EXACT(G152,'Vh5205_C-97'!G152)</f>
        <v>1</v>
      </c>
    </row>
    <row r="153" spans="1:10" s="7" customFormat="1" x14ac:dyDescent="0.35">
      <c r="A153" s="90">
        <v>149</v>
      </c>
      <c r="B153" s="146" t="s">
        <v>707</v>
      </c>
      <c r="C153" s="146" t="s">
        <v>170</v>
      </c>
      <c r="D153" s="146"/>
      <c r="E153" s="146"/>
      <c r="F153" s="19" t="s">
        <v>26</v>
      </c>
      <c r="G153" s="192" t="s">
        <v>275</v>
      </c>
      <c r="H153" s="177" t="s">
        <v>652</v>
      </c>
      <c r="J153" s="176" t="b">
        <f>EXACT(G153,'Vh5205_C-97'!G153)</f>
        <v>1</v>
      </c>
    </row>
    <row r="154" spans="1:10" s="7" customFormat="1" x14ac:dyDescent="0.35">
      <c r="A154" s="90">
        <v>150</v>
      </c>
      <c r="B154" s="146" t="s">
        <v>707</v>
      </c>
      <c r="C154" s="146" t="s">
        <v>280</v>
      </c>
      <c r="D154" s="146"/>
      <c r="E154" s="146"/>
      <c r="F154" s="19" t="s">
        <v>79</v>
      </c>
      <c r="G154" s="161" t="s">
        <v>494</v>
      </c>
      <c r="H154" s="177" t="s">
        <v>652</v>
      </c>
      <c r="J154" s="176" t="b">
        <f>EXACT(G154,'Vh5205_C-97'!G154)</f>
        <v>1</v>
      </c>
    </row>
    <row r="155" spans="1:10" s="7" customFormat="1" x14ac:dyDescent="0.35">
      <c r="A155" s="90">
        <v>151</v>
      </c>
      <c r="B155" s="146" t="s">
        <v>707</v>
      </c>
      <c r="C155" s="146" t="s">
        <v>44</v>
      </c>
      <c r="D155" s="146"/>
      <c r="E155" s="146"/>
      <c r="F155" s="19" t="s">
        <v>79</v>
      </c>
      <c r="G155" s="205" t="s">
        <v>495</v>
      </c>
      <c r="H155" s="177" t="s">
        <v>652</v>
      </c>
      <c r="J155" s="176" t="b">
        <f>EXACT(G155,'Vh5205_C-97'!G155)</f>
        <v>1</v>
      </c>
    </row>
    <row r="156" spans="1:10" s="7" customFormat="1" x14ac:dyDescent="0.35">
      <c r="A156" s="90">
        <v>152</v>
      </c>
      <c r="B156" s="10" t="s">
        <v>707</v>
      </c>
      <c r="C156" s="10" t="s">
        <v>289</v>
      </c>
      <c r="D156" s="146"/>
      <c r="E156" s="146"/>
      <c r="F156" s="20" t="s">
        <v>79</v>
      </c>
      <c r="G156" s="192" t="s">
        <v>524</v>
      </c>
      <c r="H156" s="177" t="s">
        <v>652</v>
      </c>
      <c r="J156" s="176" t="b">
        <f>EXACT(G156,'Vh5205_C-97'!G156)</f>
        <v>1</v>
      </c>
    </row>
    <row r="157" spans="1:10" s="7" customFormat="1" x14ac:dyDescent="0.35">
      <c r="A157" s="90">
        <v>153</v>
      </c>
      <c r="B157" s="146" t="s">
        <v>707</v>
      </c>
      <c r="C157" s="146" t="s">
        <v>279</v>
      </c>
      <c r="D157" s="146"/>
      <c r="E157" s="146"/>
      <c r="F157" s="19" t="s">
        <v>79</v>
      </c>
      <c r="G157" s="192" t="s">
        <v>385</v>
      </c>
      <c r="H157" s="177" t="s">
        <v>652</v>
      </c>
      <c r="J157" s="176" t="b">
        <f>EXACT(G157,'Vh5205_C-97'!G157)</f>
        <v>1</v>
      </c>
    </row>
    <row r="158" spans="1:10" s="7" customFormat="1" x14ac:dyDescent="0.35">
      <c r="A158" s="90">
        <v>154</v>
      </c>
      <c r="B158" s="10" t="s">
        <v>707</v>
      </c>
      <c r="C158" s="10" t="s">
        <v>31</v>
      </c>
      <c r="D158" s="146"/>
      <c r="E158" s="146" t="s">
        <v>194</v>
      </c>
      <c r="F158" s="19" t="s">
        <v>26</v>
      </c>
      <c r="G158" s="199" t="s">
        <v>496</v>
      </c>
      <c r="H158" s="177" t="s">
        <v>652</v>
      </c>
      <c r="J158" s="176" t="b">
        <f>EXACT(G158,'Vh5205_C-97'!G158)</f>
        <v>1</v>
      </c>
    </row>
    <row r="159" spans="1:10" s="7" customFormat="1" x14ac:dyDescent="0.35">
      <c r="A159" s="90">
        <v>155</v>
      </c>
      <c r="B159" s="10" t="s">
        <v>707</v>
      </c>
      <c r="C159" s="10" t="s">
        <v>32</v>
      </c>
      <c r="D159" s="146"/>
      <c r="E159" s="146" t="s">
        <v>586</v>
      </c>
      <c r="F159" s="19" t="s">
        <v>26</v>
      </c>
      <c r="G159" s="198" t="s">
        <v>497</v>
      </c>
      <c r="H159" s="177" t="s">
        <v>652</v>
      </c>
      <c r="J159" s="176" t="b">
        <f>EXACT(G159,'Vh5205_C-97'!G159)</f>
        <v>1</v>
      </c>
    </row>
    <row r="160" spans="1:10" s="7" customFormat="1" x14ac:dyDescent="0.35">
      <c r="A160" s="90">
        <v>156</v>
      </c>
      <c r="B160" s="10" t="s">
        <v>707</v>
      </c>
      <c r="C160" s="10" t="s">
        <v>291</v>
      </c>
      <c r="D160" s="146"/>
      <c r="E160" s="146" t="s">
        <v>2</v>
      </c>
      <c r="F160" s="19" t="s">
        <v>26</v>
      </c>
      <c r="G160" s="192">
        <v>25</v>
      </c>
      <c r="H160" s="177" t="s">
        <v>652</v>
      </c>
      <c r="J160" s="176" t="b">
        <f>EXACT(G160,'Vh5205_C-97'!G160)</f>
        <v>1</v>
      </c>
    </row>
    <row r="161" spans="1:10" s="7" customFormat="1" x14ac:dyDescent="0.35">
      <c r="A161" s="90">
        <v>157</v>
      </c>
      <c r="B161" s="146" t="s">
        <v>707</v>
      </c>
      <c r="C161" s="146" t="s">
        <v>293</v>
      </c>
      <c r="D161" s="146"/>
      <c r="E161" s="146"/>
      <c r="F161" s="20" t="s">
        <v>26</v>
      </c>
      <c r="G161" s="192" t="s">
        <v>196</v>
      </c>
      <c r="H161" s="177" t="s">
        <v>652</v>
      </c>
      <c r="J161" s="176" t="b">
        <f>EXACT(G161,'Vh5205_C-97'!G161)</f>
        <v>1</v>
      </c>
    </row>
    <row r="162" spans="1:10" s="7" customFormat="1" x14ac:dyDescent="0.35">
      <c r="A162" s="90">
        <v>158</v>
      </c>
      <c r="B162" s="104" t="s">
        <v>707</v>
      </c>
      <c r="C162" s="104" t="s">
        <v>161</v>
      </c>
      <c r="D162" s="104"/>
      <c r="E162" s="104"/>
      <c r="F162" s="20" t="s">
        <v>79</v>
      </c>
      <c r="G162" s="161" t="s">
        <v>539</v>
      </c>
      <c r="H162" s="177" t="s">
        <v>652</v>
      </c>
      <c r="J162" s="176" t="b">
        <f>EXACT(G162,'Vh5205_C-97'!G162)</f>
        <v>1</v>
      </c>
    </row>
    <row r="163" spans="1:10" x14ac:dyDescent="0.35">
      <c r="A163" s="90">
        <v>159</v>
      </c>
      <c r="B163" s="104" t="s">
        <v>707</v>
      </c>
      <c r="C163" s="104" t="s">
        <v>358</v>
      </c>
      <c r="D163" s="104"/>
      <c r="E163" s="104"/>
      <c r="F163" s="20" t="s">
        <v>26</v>
      </c>
      <c r="G163" s="195">
        <v>44735</v>
      </c>
      <c r="H163" s="140"/>
      <c r="J163" s="2" t="b">
        <f>EXACT(G163,'Vh5205_C-97'!G163)</f>
        <v>1</v>
      </c>
    </row>
    <row r="164" spans="1:10" x14ac:dyDescent="0.35">
      <c r="A164" s="90">
        <v>160</v>
      </c>
      <c r="B164" s="104" t="s">
        <v>707</v>
      </c>
      <c r="C164" s="104" t="s">
        <v>271</v>
      </c>
      <c r="D164" s="104"/>
      <c r="E164" s="104"/>
      <c r="F164" s="20" t="s">
        <v>26</v>
      </c>
      <c r="G164" s="161" t="s">
        <v>492</v>
      </c>
      <c r="H164" s="177" t="s">
        <v>652</v>
      </c>
      <c r="J164" s="176" t="b">
        <f>EXACT(G164,'Vh5205_C-97'!G164)</f>
        <v>1</v>
      </c>
    </row>
    <row r="165" spans="1:10" s="7" customFormat="1" x14ac:dyDescent="0.35">
      <c r="A165" s="90">
        <v>161</v>
      </c>
      <c r="B165" s="146" t="s">
        <v>707</v>
      </c>
      <c r="C165" s="146" t="s">
        <v>119</v>
      </c>
      <c r="D165" s="146"/>
      <c r="E165" s="146"/>
      <c r="F165" s="20" t="s">
        <v>26</v>
      </c>
      <c r="G165" s="161">
        <v>1</v>
      </c>
      <c r="H165" s="177" t="s">
        <v>652</v>
      </c>
      <c r="J165" s="176" t="b">
        <f>EXACT(G165,'Vh5205_C-97'!G165)</f>
        <v>1</v>
      </c>
    </row>
    <row r="166" spans="1:10" s="7" customFormat="1" x14ac:dyDescent="0.35">
      <c r="A166" s="90">
        <v>162</v>
      </c>
      <c r="B166" s="146" t="s">
        <v>707</v>
      </c>
      <c r="C166" s="146" t="s">
        <v>145</v>
      </c>
      <c r="D166" s="146"/>
      <c r="E166" s="10" t="s">
        <v>171</v>
      </c>
      <c r="F166" s="20" t="s">
        <v>26</v>
      </c>
      <c r="G166" s="161" t="s">
        <v>543</v>
      </c>
      <c r="H166" s="177" t="s">
        <v>652</v>
      </c>
      <c r="J166" s="176" t="b">
        <f>EXACT(G166,'Vh5205_C-97'!G166)</f>
        <v>1</v>
      </c>
    </row>
    <row r="167" spans="1:10" s="7" customFormat="1" x14ac:dyDescent="0.35">
      <c r="A167" s="90">
        <v>163</v>
      </c>
      <c r="B167" s="87" t="s">
        <v>707</v>
      </c>
      <c r="C167" s="87" t="s">
        <v>120</v>
      </c>
      <c r="D167" s="87"/>
      <c r="E167" s="87"/>
      <c r="F167" s="21" t="s">
        <v>26</v>
      </c>
      <c r="G167" s="194" t="s">
        <v>276</v>
      </c>
      <c r="H167" s="180" t="s">
        <v>652</v>
      </c>
      <c r="J167" s="176" t="b">
        <f>EXACT(G167,'Vh5205_C-97'!G167)</f>
        <v>1</v>
      </c>
    </row>
    <row r="168" spans="1:10" s="7" customFormat="1" x14ac:dyDescent="0.35">
      <c r="A168" s="90"/>
      <c r="B168" s="10" t="s">
        <v>708</v>
      </c>
      <c r="C168" s="10"/>
      <c r="D168" s="146"/>
      <c r="E168" s="146"/>
      <c r="F168" s="20"/>
      <c r="G168" s="208"/>
      <c r="H168" s="180"/>
      <c r="J168" s="1" t="b">
        <f>EXACT(G168,'Vh5205_C-97'!G168)</f>
        <v>1</v>
      </c>
    </row>
    <row r="169" spans="1:10" s="7" customFormat="1" ht="46.5" x14ac:dyDescent="0.35">
      <c r="A169" s="90">
        <v>164</v>
      </c>
      <c r="B169" s="102" t="s">
        <v>709</v>
      </c>
      <c r="C169" s="102" t="s">
        <v>588</v>
      </c>
      <c r="D169" s="100"/>
      <c r="E169" s="100"/>
      <c r="F169" s="18" t="s">
        <v>26</v>
      </c>
      <c r="G169" s="197" t="s">
        <v>657</v>
      </c>
      <c r="H169" s="177" t="s">
        <v>652</v>
      </c>
      <c r="J169" s="176" t="b">
        <f>EXACT(G169,'Vh5205_C-97'!G169)</f>
        <v>1</v>
      </c>
    </row>
    <row r="170" spans="1:10" s="7" customFormat="1" ht="31" x14ac:dyDescent="0.35">
      <c r="A170" s="90">
        <v>165</v>
      </c>
      <c r="B170" s="10" t="s">
        <v>709</v>
      </c>
      <c r="C170" s="10" t="s">
        <v>589</v>
      </c>
      <c r="D170" s="146"/>
      <c r="E170" s="146"/>
      <c r="F170" s="23" t="s">
        <v>26</v>
      </c>
      <c r="G170" s="161" t="s">
        <v>622</v>
      </c>
      <c r="H170" s="177" t="s">
        <v>652</v>
      </c>
      <c r="J170" s="176" t="b">
        <f>EXACT(G170,'Vh5205_C-97'!G170)</f>
        <v>1</v>
      </c>
    </row>
    <row r="171" spans="1:10" s="7" customFormat="1" ht="17.5" x14ac:dyDescent="0.35">
      <c r="A171" s="90">
        <v>166</v>
      </c>
      <c r="B171" s="10" t="s">
        <v>709</v>
      </c>
      <c r="C171" s="10" t="s">
        <v>498</v>
      </c>
      <c r="D171" s="146"/>
      <c r="E171" s="146"/>
      <c r="F171" s="23" t="s">
        <v>26</v>
      </c>
      <c r="G171" s="161" t="s">
        <v>658</v>
      </c>
      <c r="H171" s="177" t="s">
        <v>652</v>
      </c>
      <c r="J171" s="176" t="b">
        <f>EXACT(G171,'Vh5205_C-97'!G171)</f>
        <v>1</v>
      </c>
    </row>
    <row r="172" spans="1:10" s="7" customFormat="1" x14ac:dyDescent="0.35">
      <c r="A172" s="90">
        <v>167</v>
      </c>
      <c r="B172" s="10" t="s">
        <v>709</v>
      </c>
      <c r="C172" s="10" t="s">
        <v>313</v>
      </c>
      <c r="D172" s="146"/>
      <c r="E172" s="146"/>
      <c r="F172" s="19" t="s">
        <v>26</v>
      </c>
      <c r="G172" s="192" t="s">
        <v>48</v>
      </c>
      <c r="H172" s="177" t="s">
        <v>652</v>
      </c>
      <c r="J172" s="176" t="b">
        <f>EXACT(G172,'Vh5205_C-97'!G172)</f>
        <v>1</v>
      </c>
    </row>
    <row r="173" spans="1:10" s="7" customFormat="1" x14ac:dyDescent="0.35">
      <c r="A173" s="90">
        <v>168</v>
      </c>
      <c r="B173" s="146" t="s">
        <v>709</v>
      </c>
      <c r="C173" s="146" t="s">
        <v>306</v>
      </c>
      <c r="D173" s="146"/>
      <c r="E173" s="146"/>
      <c r="F173" s="19" t="s">
        <v>26</v>
      </c>
      <c r="G173" s="192" t="s">
        <v>524</v>
      </c>
      <c r="H173" s="177" t="s">
        <v>652</v>
      </c>
      <c r="J173" s="176" t="b">
        <f>EXACT(G173,'Vh5205_C-97'!G173)</f>
        <v>1</v>
      </c>
    </row>
    <row r="174" spans="1:10" s="7" customFormat="1" x14ac:dyDescent="0.35">
      <c r="A174" s="90">
        <v>169</v>
      </c>
      <c r="B174" s="87" t="s">
        <v>709</v>
      </c>
      <c r="C174" s="87" t="s">
        <v>307</v>
      </c>
      <c r="D174" s="87"/>
      <c r="E174" s="87"/>
      <c r="F174" s="22" t="s">
        <v>79</v>
      </c>
      <c r="G174" s="196"/>
      <c r="H174" s="180"/>
      <c r="J174" s="1" t="b">
        <f>EXACT(G174,'Vh5205_C-97'!G174)</f>
        <v>1</v>
      </c>
    </row>
    <row r="175" spans="1:10" s="7" customFormat="1" x14ac:dyDescent="0.35">
      <c r="A175" s="90">
        <v>170</v>
      </c>
      <c r="B175" s="146" t="s">
        <v>710</v>
      </c>
      <c r="C175" s="146" t="s">
        <v>10</v>
      </c>
      <c r="D175" s="146" t="s">
        <v>146</v>
      </c>
      <c r="E175" s="146" t="s">
        <v>2</v>
      </c>
      <c r="F175" s="19" t="s">
        <v>26</v>
      </c>
      <c r="G175" s="209">
        <v>6</v>
      </c>
      <c r="H175" s="177"/>
      <c r="J175" s="1" t="b">
        <f>EXACT(G175,'Vh5205_C-97'!G175)</f>
        <v>1</v>
      </c>
    </row>
    <row r="176" spans="1:10" s="7" customFormat="1" ht="17.5" x14ac:dyDescent="0.35">
      <c r="A176" s="90">
        <v>171</v>
      </c>
      <c r="B176" s="146" t="s">
        <v>710</v>
      </c>
      <c r="C176" s="146" t="s">
        <v>11</v>
      </c>
      <c r="D176" s="146" t="s">
        <v>591</v>
      </c>
      <c r="E176" s="146" t="s">
        <v>2</v>
      </c>
      <c r="F176" s="19" t="s">
        <v>26</v>
      </c>
      <c r="G176" s="210">
        <v>23.9</v>
      </c>
      <c r="H176" s="177"/>
      <c r="J176" s="1" t="b">
        <f>EXACT(G176,'Vh5205_C-97'!G176)</f>
        <v>0</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EXACT(G177,'Vh5205_C-97'!G177)</f>
        <v>1</v>
      </c>
    </row>
    <row r="178" spans="1:10" s="7" customFormat="1" x14ac:dyDescent="0.35">
      <c r="A178" s="90">
        <v>173</v>
      </c>
      <c r="B178" s="10" t="s">
        <v>710</v>
      </c>
      <c r="C178" s="10" t="s">
        <v>28</v>
      </c>
      <c r="D178" s="146" t="s">
        <v>593</v>
      </c>
      <c r="E178" s="146" t="s">
        <v>2</v>
      </c>
      <c r="F178" s="19" t="s">
        <v>26</v>
      </c>
      <c r="G178" s="211">
        <v>22.9</v>
      </c>
      <c r="H178" s="177"/>
      <c r="J178" s="1" t="b">
        <f>EXACT(G178,'Vh5205_C-97'!G178)</f>
        <v>0</v>
      </c>
    </row>
    <row r="179" spans="1:10" s="7" customFormat="1" ht="17.5" x14ac:dyDescent="0.35">
      <c r="A179" s="90">
        <v>174</v>
      </c>
      <c r="B179" s="10" t="s">
        <v>710</v>
      </c>
      <c r="C179" s="10" t="s">
        <v>29</v>
      </c>
      <c r="D179" s="10" t="s">
        <v>440</v>
      </c>
      <c r="E179" s="146" t="s">
        <v>2</v>
      </c>
      <c r="F179" s="19" t="s">
        <v>26</v>
      </c>
      <c r="G179" s="210">
        <v>23.9</v>
      </c>
      <c r="H179" s="177"/>
      <c r="J179" s="1" t="b">
        <f>EXACT(G179,'Vh5205_C-97'!G179)</f>
        <v>0</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EXACT(G180,'Vh5205_C-97'!G180)</f>
        <v>1</v>
      </c>
    </row>
    <row r="181" spans="1:10" s="7" customFormat="1" ht="17.5" x14ac:dyDescent="0.35">
      <c r="A181" s="90">
        <v>176</v>
      </c>
      <c r="B181" s="10" t="s">
        <v>710</v>
      </c>
      <c r="C181" s="10" t="s">
        <v>30</v>
      </c>
      <c r="D181" s="10" t="s">
        <v>443</v>
      </c>
      <c r="E181" s="146" t="s">
        <v>2</v>
      </c>
      <c r="F181" s="19" t="s">
        <v>26</v>
      </c>
      <c r="G181" s="211">
        <v>22.9</v>
      </c>
      <c r="H181" s="177"/>
      <c r="J181" s="1" t="b">
        <f>EXACT(G181,'Vh5205_C-97'!G181)</f>
        <v>0</v>
      </c>
    </row>
    <row r="182" spans="1:10" s="7" customFormat="1" x14ac:dyDescent="0.35">
      <c r="A182" s="90">
        <v>177</v>
      </c>
      <c r="B182" s="146" t="s">
        <v>710</v>
      </c>
      <c r="C182" s="146" t="s">
        <v>444</v>
      </c>
      <c r="D182" s="10" t="s">
        <v>445</v>
      </c>
      <c r="E182" s="146" t="s">
        <v>2</v>
      </c>
      <c r="F182" s="19" t="s">
        <v>26</v>
      </c>
      <c r="G182" s="211">
        <v>4</v>
      </c>
      <c r="H182" s="177"/>
      <c r="J182" s="1" t="b">
        <f>EXACT(G182,'Vh5205_C-97'!G182)</f>
        <v>1</v>
      </c>
    </row>
    <row r="183" spans="1:10" s="7" customFormat="1" ht="17.5" x14ac:dyDescent="0.35">
      <c r="A183" s="90">
        <v>178</v>
      </c>
      <c r="B183" s="146" t="s">
        <v>710</v>
      </c>
      <c r="C183" s="146" t="s">
        <v>446</v>
      </c>
      <c r="D183" s="10" t="s">
        <v>447</v>
      </c>
      <c r="E183" s="146" t="s">
        <v>2</v>
      </c>
      <c r="F183" s="19" t="s">
        <v>26</v>
      </c>
      <c r="G183" s="203">
        <v>4.49</v>
      </c>
      <c r="H183" s="177"/>
      <c r="J183" s="1" t="b">
        <f>EXACT(G183,'Vh5205_C-97'!G183)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EXACT(G184,'Vh5205_C-97'!G184)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EXACT(G185,'Vh5205_C-97'!G185)</f>
        <v>1</v>
      </c>
    </row>
    <row r="186" spans="1:10" s="7" customFormat="1" x14ac:dyDescent="0.35">
      <c r="A186" s="90">
        <v>181</v>
      </c>
      <c r="B186" s="146" t="s">
        <v>710</v>
      </c>
      <c r="C186" s="146" t="s">
        <v>452</v>
      </c>
      <c r="D186" s="10" t="s">
        <v>453</v>
      </c>
      <c r="E186" s="146" t="s">
        <v>2</v>
      </c>
      <c r="F186" s="19" t="s">
        <v>26</v>
      </c>
      <c r="G186" s="211">
        <v>3.8</v>
      </c>
      <c r="H186" s="177"/>
      <c r="J186" s="1" t="b">
        <f>EXACT(G186,'Vh5205_C-97'!G186)</f>
        <v>1</v>
      </c>
    </row>
    <row r="187" spans="1:10" s="7" customFormat="1" ht="17.5" x14ac:dyDescent="0.35">
      <c r="A187" s="90">
        <v>182</v>
      </c>
      <c r="B187" s="87" t="s">
        <v>710</v>
      </c>
      <c r="C187" s="87" t="s">
        <v>454</v>
      </c>
      <c r="D187" s="13" t="s">
        <v>455</v>
      </c>
      <c r="E187" s="87" t="s">
        <v>2</v>
      </c>
      <c r="F187" s="22" t="s">
        <v>26</v>
      </c>
      <c r="G187" s="212">
        <v>4.3099999999999996</v>
      </c>
      <c r="H187" s="180"/>
      <c r="J187" s="1" t="b">
        <f>EXACT(G187,'Vh5205_C-97'!G187)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EXACT(G188,'Vh5205_C-97'!G188)</f>
        <v>1</v>
      </c>
    </row>
    <row r="189" spans="1:10" s="7" customFormat="1" x14ac:dyDescent="0.35">
      <c r="A189" s="90">
        <v>184</v>
      </c>
      <c r="B189" s="10" t="s">
        <v>711</v>
      </c>
      <c r="C189" s="10" t="s">
        <v>47</v>
      </c>
      <c r="D189" s="106" t="s">
        <v>597</v>
      </c>
      <c r="E189" s="146" t="s">
        <v>2</v>
      </c>
      <c r="F189" s="19" t="s">
        <v>79</v>
      </c>
      <c r="G189" s="161"/>
      <c r="H189" s="177"/>
      <c r="J189" s="1" t="b">
        <f>EXACT(G189,'Vh5205_C-97'!G189)</f>
        <v>1</v>
      </c>
    </row>
    <row r="190" spans="1:10" s="7" customFormat="1" ht="17.5" x14ac:dyDescent="0.35">
      <c r="A190" s="90">
        <v>185</v>
      </c>
      <c r="B190" s="10" t="s">
        <v>711</v>
      </c>
      <c r="C190" s="10" t="s">
        <v>175</v>
      </c>
      <c r="D190" s="106" t="s">
        <v>598</v>
      </c>
      <c r="E190" s="146" t="s">
        <v>2</v>
      </c>
      <c r="F190" s="19" t="s">
        <v>79</v>
      </c>
      <c r="G190" s="161"/>
      <c r="H190" s="177"/>
      <c r="J190" s="1" t="b">
        <f>EXACT(G190,'Vh5205_C-97'!G190)</f>
        <v>1</v>
      </c>
    </row>
    <row r="191" spans="1:10" s="7" customFormat="1" x14ac:dyDescent="0.35">
      <c r="A191" s="90">
        <v>186</v>
      </c>
      <c r="B191" s="146" t="s">
        <v>711</v>
      </c>
      <c r="C191" s="146" t="s">
        <v>12</v>
      </c>
      <c r="D191" s="146"/>
      <c r="E191" s="146" t="s">
        <v>5</v>
      </c>
      <c r="F191" s="19" t="s">
        <v>26</v>
      </c>
      <c r="G191" s="161">
        <v>2.0299999999999998</v>
      </c>
      <c r="H191" s="177"/>
      <c r="J191" s="1" t="b">
        <f>EXACT(G191,'Vh5205_C-97'!G191)</f>
        <v>0</v>
      </c>
    </row>
    <row r="192" spans="1:10" s="7" customFormat="1" x14ac:dyDescent="0.35">
      <c r="A192" s="90">
        <v>187</v>
      </c>
      <c r="B192" s="146" t="s">
        <v>711</v>
      </c>
      <c r="C192" s="146" t="s">
        <v>53</v>
      </c>
      <c r="D192" s="146"/>
      <c r="E192" s="146" t="s">
        <v>5</v>
      </c>
      <c r="F192" s="19" t="s">
        <v>26</v>
      </c>
      <c r="G192" s="161">
        <v>1.91</v>
      </c>
      <c r="H192" s="177"/>
      <c r="J192" s="1" t="b">
        <f>EXACT(G192,'Vh5205_C-97'!G192)</f>
        <v>0</v>
      </c>
    </row>
    <row r="193" spans="1:10" s="7" customFormat="1" x14ac:dyDescent="0.35">
      <c r="A193" s="90">
        <v>188</v>
      </c>
      <c r="B193" s="146" t="s">
        <v>711</v>
      </c>
      <c r="C193" s="146" t="s">
        <v>8</v>
      </c>
      <c r="D193" s="146" t="s">
        <v>36</v>
      </c>
      <c r="E193" s="146" t="s">
        <v>5</v>
      </c>
      <c r="F193" s="22" t="s">
        <v>26</v>
      </c>
      <c r="G193" s="213">
        <v>170</v>
      </c>
      <c r="H193" s="180"/>
      <c r="J193" s="1" t="b">
        <f>EXACT(G193,'Vh5205_C-97'!G193)</f>
        <v>0</v>
      </c>
    </row>
    <row r="194" spans="1:10" s="7" customFormat="1" ht="17.5" x14ac:dyDescent="0.35">
      <c r="A194" s="90">
        <v>189</v>
      </c>
      <c r="B194" s="100" t="s">
        <v>712</v>
      </c>
      <c r="C194" s="100" t="s">
        <v>118</v>
      </c>
      <c r="D194" s="100" t="s">
        <v>599</v>
      </c>
      <c r="E194" s="100" t="s">
        <v>5</v>
      </c>
      <c r="F194" s="19" t="s">
        <v>26</v>
      </c>
      <c r="G194" s="214">
        <v>170</v>
      </c>
      <c r="H194" s="177"/>
      <c r="J194" s="1" t="b">
        <f>EXACT(G194,'Vh5205_C-97'!G194)</f>
        <v>0</v>
      </c>
    </row>
    <row r="195" spans="1:10" s="7" customFormat="1" x14ac:dyDescent="0.35">
      <c r="A195" s="90">
        <v>190</v>
      </c>
      <c r="B195" s="10" t="s">
        <v>712</v>
      </c>
      <c r="C195" s="10" t="s">
        <v>176</v>
      </c>
      <c r="D195" s="146"/>
      <c r="E195" s="146"/>
      <c r="F195" s="19" t="s">
        <v>26</v>
      </c>
      <c r="G195" s="161" t="s">
        <v>533</v>
      </c>
      <c r="H195" s="177"/>
      <c r="J195" s="1" t="b">
        <f>EXACT(G195,'Vh5205_C-97'!G195)</f>
        <v>1</v>
      </c>
    </row>
    <row r="196" spans="1:10" s="7" customFormat="1" x14ac:dyDescent="0.35">
      <c r="A196" s="90">
        <v>191</v>
      </c>
      <c r="B196" s="13" t="s">
        <v>712</v>
      </c>
      <c r="C196" s="13" t="s">
        <v>38</v>
      </c>
      <c r="D196" s="87" t="s">
        <v>49</v>
      </c>
      <c r="E196" s="87" t="s">
        <v>2</v>
      </c>
      <c r="F196" s="22" t="s">
        <v>79</v>
      </c>
      <c r="G196" s="215">
        <v>30.5</v>
      </c>
      <c r="H196" s="180"/>
      <c r="J196" s="1" t="b">
        <f>EXACT(G196,'Vh5205_C-97'!G196)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EXACT(G197,'Vh5205_C-97'!G197)</f>
        <v>1</v>
      </c>
    </row>
    <row r="198" spans="1:10" s="7" customFormat="1" x14ac:dyDescent="0.35">
      <c r="A198" s="90">
        <v>193</v>
      </c>
      <c r="B198" s="10" t="s">
        <v>711</v>
      </c>
      <c r="C198" s="10" t="s">
        <v>193</v>
      </c>
      <c r="D198" s="5"/>
      <c r="E198" s="10" t="s">
        <v>0</v>
      </c>
      <c r="F198" s="19" t="s">
        <v>26</v>
      </c>
      <c r="G198" s="192" t="s">
        <v>659</v>
      </c>
      <c r="H198" s="177" t="s">
        <v>652</v>
      </c>
      <c r="J198" s="176" t="b">
        <f>EXACT(G198,'Vh5205_C-97'!G198)</f>
        <v>1</v>
      </c>
    </row>
    <row r="199" spans="1:10" s="7" customFormat="1" x14ac:dyDescent="0.35">
      <c r="A199" s="90">
        <v>194</v>
      </c>
      <c r="B199" s="146" t="s">
        <v>711</v>
      </c>
      <c r="C199" s="146" t="s">
        <v>13</v>
      </c>
      <c r="D199" s="146"/>
      <c r="E199" s="146" t="s">
        <v>6</v>
      </c>
      <c r="F199" s="19" t="s">
        <v>79</v>
      </c>
      <c r="G199" s="161"/>
      <c r="H199" s="177"/>
      <c r="J199" s="1" t="b">
        <f>EXACT(G199,'Vh5205_C-97'!G199)</f>
        <v>1</v>
      </c>
    </row>
    <row r="200" spans="1:10" s="7" customFormat="1" x14ac:dyDescent="0.35">
      <c r="A200" s="90">
        <v>195</v>
      </c>
      <c r="B200" s="146" t="s">
        <v>711</v>
      </c>
      <c r="C200" s="146" t="s">
        <v>14</v>
      </c>
      <c r="D200" s="146"/>
      <c r="E200" s="146" t="s">
        <v>6</v>
      </c>
      <c r="F200" s="19" t="s">
        <v>79</v>
      </c>
      <c r="G200" s="161"/>
      <c r="H200" s="177"/>
      <c r="J200" s="1" t="b">
        <f>EXACT(G200,'Vh5205_C-97'!G200)</f>
        <v>1</v>
      </c>
    </row>
    <row r="201" spans="1:10" s="7" customFormat="1" x14ac:dyDescent="0.35">
      <c r="A201" s="90">
        <v>196</v>
      </c>
      <c r="B201" s="146" t="s">
        <v>711</v>
      </c>
      <c r="C201" s="146" t="s">
        <v>19</v>
      </c>
      <c r="D201" s="146"/>
      <c r="E201" s="146" t="s">
        <v>113</v>
      </c>
      <c r="F201" s="19" t="s">
        <v>79</v>
      </c>
      <c r="G201" s="161"/>
      <c r="H201" s="177"/>
      <c r="J201" s="1" t="b">
        <f>EXACT(G201,'Vh5205_C-97'!G201)</f>
        <v>1</v>
      </c>
    </row>
    <row r="202" spans="1:10" s="7" customFormat="1" x14ac:dyDescent="0.35">
      <c r="A202" s="90">
        <v>197</v>
      </c>
      <c r="B202" s="146" t="s">
        <v>711</v>
      </c>
      <c r="C202" s="146" t="s">
        <v>20</v>
      </c>
      <c r="D202" s="146"/>
      <c r="E202" s="146" t="s">
        <v>113</v>
      </c>
      <c r="F202" s="19" t="s">
        <v>79</v>
      </c>
      <c r="G202" s="161"/>
      <c r="H202" s="177"/>
      <c r="J202" s="1" t="b">
        <f>EXACT(G202,'Vh5205_C-97'!G202)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EXACT(G203,'Vh5205_C-97'!G203)</f>
        <v>1</v>
      </c>
    </row>
    <row r="204" spans="1:10" s="7" customFormat="1" ht="17.5" x14ac:dyDescent="0.35">
      <c r="A204" s="90">
        <v>199</v>
      </c>
      <c r="B204" s="10" t="s">
        <v>713</v>
      </c>
      <c r="C204" s="10" t="s">
        <v>180</v>
      </c>
      <c r="D204" s="102" t="s">
        <v>181</v>
      </c>
      <c r="E204" s="100" t="s">
        <v>1</v>
      </c>
      <c r="F204" s="23" t="s">
        <v>26</v>
      </c>
      <c r="G204" s="161" t="s">
        <v>524</v>
      </c>
      <c r="H204" s="177"/>
      <c r="J204" s="1" t="b">
        <f>EXACT(G204,'Vh5205_C-97'!G204)</f>
        <v>1</v>
      </c>
    </row>
    <row r="205" spans="1:10" s="7" customFormat="1" x14ac:dyDescent="0.35">
      <c r="A205" s="90">
        <v>200</v>
      </c>
      <c r="B205" s="146" t="s">
        <v>713</v>
      </c>
      <c r="C205" s="146" t="s">
        <v>37</v>
      </c>
      <c r="D205" s="146" t="s">
        <v>50</v>
      </c>
      <c r="E205" s="146" t="s">
        <v>1</v>
      </c>
      <c r="F205" s="23" t="s">
        <v>26</v>
      </c>
      <c r="G205" s="216">
        <v>28</v>
      </c>
      <c r="H205" s="177"/>
      <c r="J205" s="1" t="b">
        <f>EXACT(G205,'Vh5205_C-97'!G205)</f>
        <v>0</v>
      </c>
    </row>
    <row r="206" spans="1:10" s="7" customFormat="1" ht="17.5" x14ac:dyDescent="0.35">
      <c r="A206" s="90">
        <v>201</v>
      </c>
      <c r="B206" s="87" t="s">
        <v>713</v>
      </c>
      <c r="C206" s="87" t="s">
        <v>610</v>
      </c>
      <c r="D206" s="13" t="s">
        <v>182</v>
      </c>
      <c r="E206" s="103" t="s">
        <v>1</v>
      </c>
      <c r="F206" s="24" t="s">
        <v>26</v>
      </c>
      <c r="G206" s="217">
        <v>57</v>
      </c>
      <c r="H206" s="180"/>
      <c r="J206" s="1" t="b">
        <f>EXACT(G206,'Vh5205_C-97'!G206)</f>
        <v>1</v>
      </c>
    </row>
    <row r="207" spans="1:10" s="7" customFormat="1" x14ac:dyDescent="0.35">
      <c r="A207" s="90">
        <v>202</v>
      </c>
      <c r="B207" s="5" t="s">
        <v>714</v>
      </c>
      <c r="C207" s="5" t="s">
        <v>392</v>
      </c>
      <c r="D207" s="146"/>
      <c r="E207" s="146"/>
      <c r="F207" s="23" t="s">
        <v>26</v>
      </c>
      <c r="G207" s="161" t="s">
        <v>524</v>
      </c>
      <c r="H207" s="177" t="s">
        <v>652</v>
      </c>
      <c r="J207" s="176" t="b">
        <f>EXACT(G207,'Vh5205_C-97'!G207)</f>
        <v>1</v>
      </c>
    </row>
    <row r="208" spans="1:10" s="7" customFormat="1" x14ac:dyDescent="0.35">
      <c r="A208" s="90">
        <v>203</v>
      </c>
      <c r="B208" s="146" t="s">
        <v>714</v>
      </c>
      <c r="C208" s="146" t="s">
        <v>25</v>
      </c>
      <c r="D208" s="146" t="s">
        <v>601</v>
      </c>
      <c r="E208" s="146" t="s">
        <v>1</v>
      </c>
      <c r="F208" s="19" t="s">
        <v>26</v>
      </c>
      <c r="G208" s="218">
        <v>28.2</v>
      </c>
      <c r="H208" s="177"/>
      <c r="J208" s="1" t="b">
        <f>EXACT(G208,'Vh5205_C-97'!G208)</f>
        <v>0</v>
      </c>
    </row>
    <row r="209" spans="1:10" s="7" customFormat="1" x14ac:dyDescent="0.35">
      <c r="A209" s="90">
        <v>204</v>
      </c>
      <c r="B209" s="146" t="s">
        <v>714</v>
      </c>
      <c r="C209" s="146" t="s">
        <v>33</v>
      </c>
      <c r="D209" s="146" t="s">
        <v>602</v>
      </c>
      <c r="E209" s="146" t="s">
        <v>1</v>
      </c>
      <c r="F209" s="19" t="s">
        <v>26</v>
      </c>
      <c r="G209" s="219">
        <v>0.251</v>
      </c>
      <c r="H209" s="177"/>
      <c r="J209" s="1" t="b">
        <f>EXACT(G209,'Vh5205_C-97'!G209)</f>
        <v>0</v>
      </c>
    </row>
    <row r="210" spans="1:10" s="7" customFormat="1" ht="17.5" x14ac:dyDescent="0.35">
      <c r="A210" s="90">
        <v>205</v>
      </c>
      <c r="B210" s="146" t="s">
        <v>714</v>
      </c>
      <c r="C210" s="146" t="s">
        <v>27</v>
      </c>
      <c r="D210" s="146" t="s">
        <v>603</v>
      </c>
      <c r="E210" s="146" t="s">
        <v>1</v>
      </c>
      <c r="F210" s="19" t="s">
        <v>26</v>
      </c>
      <c r="G210" s="219">
        <v>0.23599999999999999</v>
      </c>
      <c r="H210" s="177"/>
      <c r="J210" s="1" t="b">
        <f>EXACT(G210,'Vh5205_C-97'!G210)</f>
        <v>0</v>
      </c>
    </row>
    <row r="211" spans="1:10" s="7" customFormat="1" x14ac:dyDescent="0.35">
      <c r="A211" s="90">
        <v>206</v>
      </c>
      <c r="B211" s="146" t="s">
        <v>714</v>
      </c>
      <c r="C211" s="146" t="s">
        <v>34</v>
      </c>
      <c r="D211" s="146" t="s">
        <v>604</v>
      </c>
      <c r="E211" s="146" t="s">
        <v>1</v>
      </c>
      <c r="F211" s="19" t="s">
        <v>26</v>
      </c>
      <c r="G211" s="216">
        <v>1.4999999999999999E-2</v>
      </c>
      <c r="H211" s="177"/>
      <c r="J211" s="1" t="b">
        <f>EXACT(G211,'Vh5205_C-97'!G211)</f>
        <v>0</v>
      </c>
    </row>
    <row r="212" spans="1:10" s="7" customFormat="1" x14ac:dyDescent="0.35">
      <c r="A212" s="90">
        <v>207</v>
      </c>
      <c r="B212" s="146" t="s">
        <v>714</v>
      </c>
      <c r="C212" s="146" t="s">
        <v>24</v>
      </c>
      <c r="D212" s="146" t="s">
        <v>605</v>
      </c>
      <c r="E212" s="146" t="s">
        <v>1</v>
      </c>
      <c r="F212" s="19" t="s">
        <v>26</v>
      </c>
      <c r="G212" s="219">
        <v>28</v>
      </c>
      <c r="H212" s="177"/>
      <c r="J212" s="1" t="b">
        <f>EXACT(G212,'Vh5205_C-97'!G212)</f>
        <v>0</v>
      </c>
    </row>
    <row r="213" spans="1:10" s="7" customFormat="1" ht="17.5" x14ac:dyDescent="0.35">
      <c r="A213" s="123">
        <v>208</v>
      </c>
      <c r="B213" s="87" t="s">
        <v>714</v>
      </c>
      <c r="C213" s="87" t="s">
        <v>23</v>
      </c>
      <c r="D213" s="87" t="s">
        <v>606</v>
      </c>
      <c r="E213" s="87" t="s">
        <v>1</v>
      </c>
      <c r="F213" s="22" t="s">
        <v>26</v>
      </c>
      <c r="G213" s="220">
        <v>27.9</v>
      </c>
      <c r="H213" s="180"/>
      <c r="J213" s="1" t="b">
        <f>EXACT(G213,'Vh5205_C-97'!G213)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394" priority="432" operator="equal">
      <formula>"Mandatory"</formula>
    </cfRule>
  </conditionalFormatting>
  <conditionalFormatting sqref="F4:F213">
    <cfRule type="cellIs" dxfId="393" priority="430" operator="equal">
      <formula>"Recommended"</formula>
    </cfRule>
    <cfRule type="cellIs" dxfId="392" priority="431" operator="equal">
      <formula>"Optional"</formula>
    </cfRule>
  </conditionalFormatting>
  <conditionalFormatting sqref="F4:F213">
    <cfRule type="cellIs" dxfId="391" priority="429" operator="equal">
      <formula>"Undecided"</formula>
    </cfRule>
  </conditionalFormatting>
  <conditionalFormatting sqref="G227:G232">
    <cfRule type="cellIs" dxfId="390" priority="263" operator="notEqual">
      <formula>0</formula>
    </cfRule>
  </conditionalFormatting>
  <conditionalFormatting sqref="J4:J213">
    <cfRule type="cellIs" dxfId="389" priority="93" operator="equal">
      <formula>FALSE</formula>
    </cfRule>
    <cfRule type="cellIs" dxfId="388" priority="94" operator="equal">
      <formula>"""FALSE"""</formula>
    </cfRule>
    <cfRule type="cellIs" dxfId="387" priority="95" operator="equal">
      <formula>"""FALSE"""</formula>
    </cfRule>
  </conditionalFormatting>
  <conditionalFormatting sqref="H124:H130">
    <cfRule type="cellIs" dxfId="386" priority="89" operator="equal">
      <formula>"Mandatory"</formula>
    </cfRule>
  </conditionalFormatting>
  <conditionalFormatting sqref="H124:H130">
    <cfRule type="cellIs" dxfId="385" priority="87" operator="equal">
      <formula>"Recommended"</formula>
    </cfRule>
    <cfRule type="cellIs" dxfId="384" priority="88" operator="equal">
      <formula>"Optional"</formula>
    </cfRule>
  </conditionalFormatting>
  <conditionalFormatting sqref="H124:H130">
    <cfRule type="cellIs" dxfId="383" priority="86" operator="equal">
      <formula>"Undecided"</formula>
    </cfRule>
  </conditionalFormatting>
  <conditionalFormatting sqref="G15 G177 G180 G184:G185 G188 G197:G198 G20 G44 G34:G38 G51:G53 G68 G57:G60 G83:G85 G141 G203 G212:G213 G40">
    <cfRule type="cellIs" dxfId="382" priority="85" operator="equal">
      <formula>"Mandatory"</formula>
    </cfRule>
  </conditionalFormatting>
  <conditionalFormatting sqref="G15 G177 G180 G184:G185 G188 G197:G198 G20 G44 G34:G38 G51:G53 G68 G57:G60 G83:G85 G141 G203 G212:G213 G40">
    <cfRule type="cellIs" dxfId="381" priority="83" operator="equal">
      <formula>"Not Mandatory"</formula>
    </cfRule>
    <cfRule type="cellIs" dxfId="380" priority="84" operator="equal">
      <formula>"Recommended"</formula>
    </cfRule>
  </conditionalFormatting>
  <conditionalFormatting sqref="G44 G37:G38 G52:G53 G57:G60 G85 G40">
    <cfRule type="cellIs" dxfId="379" priority="81" operator="equal">
      <formula>"Not Mandatory"</formula>
    </cfRule>
    <cfRule type="cellIs" dxfId="378" priority="82" operator="equal">
      <formula>"Recommended"</formula>
    </cfRule>
  </conditionalFormatting>
  <conditionalFormatting sqref="G44 G37:G38 G52:G53 G57:G60 G85 G40">
    <cfRule type="cellIs" dxfId="377" priority="79" operator="equal">
      <formula>"Not Mandatory"</formula>
    </cfRule>
    <cfRule type="cellIs" dxfId="376" priority="80" operator="equal">
      <formula>"Recommended"</formula>
    </cfRule>
  </conditionalFormatting>
  <conditionalFormatting sqref="G48:G49">
    <cfRule type="cellIs" dxfId="375" priority="78" operator="equal">
      <formula>"Mandatory"</formula>
    </cfRule>
  </conditionalFormatting>
  <conditionalFormatting sqref="G48:G49">
    <cfRule type="cellIs" dxfId="374" priority="76" operator="equal">
      <formula>"Not Mandatory"</formula>
    </cfRule>
    <cfRule type="cellIs" dxfId="373" priority="77" operator="equal">
      <formula>"Recommended"</formula>
    </cfRule>
  </conditionalFormatting>
  <conditionalFormatting sqref="G48:G49">
    <cfRule type="cellIs" dxfId="372" priority="74" operator="equal">
      <formula>"Not Mandatory"</formula>
    </cfRule>
    <cfRule type="cellIs" dxfId="371" priority="75" operator="equal">
      <formula>"Recommended"</formula>
    </cfRule>
  </conditionalFormatting>
  <conditionalFormatting sqref="G48:G49">
    <cfRule type="cellIs" dxfId="370" priority="72" operator="equal">
      <formula>"Not Mandatory"</formula>
    </cfRule>
    <cfRule type="cellIs" dxfId="369" priority="73" operator="equal">
      <formula>"Recommended"</formula>
    </cfRule>
  </conditionalFormatting>
  <conditionalFormatting sqref="G69">
    <cfRule type="cellIs" dxfId="368" priority="71" operator="equal">
      <formula>"Mandatory"</formula>
    </cfRule>
  </conditionalFormatting>
  <conditionalFormatting sqref="G69">
    <cfRule type="cellIs" dxfId="367" priority="69" operator="equal">
      <formula>"Not Mandatory"</formula>
    </cfRule>
    <cfRule type="cellIs" dxfId="366" priority="70" operator="equal">
      <formula>"Recommended"</formula>
    </cfRule>
  </conditionalFormatting>
  <conditionalFormatting sqref="G86">
    <cfRule type="cellIs" dxfId="365" priority="68" operator="equal">
      <formula>"Mandatory"</formula>
    </cfRule>
  </conditionalFormatting>
  <conditionalFormatting sqref="G86">
    <cfRule type="cellIs" dxfId="364" priority="66" operator="equal">
      <formula>"Not Mandatory"</formula>
    </cfRule>
    <cfRule type="cellIs" dxfId="363" priority="67" operator="equal">
      <formula>"Recommended"</formula>
    </cfRule>
  </conditionalFormatting>
  <conditionalFormatting sqref="G86">
    <cfRule type="cellIs" dxfId="362" priority="64" operator="equal">
      <formula>"Not Mandatory"</formula>
    </cfRule>
    <cfRule type="cellIs" dxfId="361" priority="65" operator="equal">
      <formula>"Recommended"</formula>
    </cfRule>
  </conditionalFormatting>
  <conditionalFormatting sqref="G86">
    <cfRule type="cellIs" dxfId="360" priority="62" operator="equal">
      <formula>"Not Mandatory"</formula>
    </cfRule>
    <cfRule type="cellIs" dxfId="359" priority="63" operator="equal">
      <formula>"Recommended"</formula>
    </cfRule>
  </conditionalFormatting>
  <conditionalFormatting sqref="G9:G13">
    <cfRule type="cellIs" dxfId="358" priority="61" operator="equal">
      <formula>"Mandatory"</formula>
    </cfRule>
  </conditionalFormatting>
  <conditionalFormatting sqref="G9:G13">
    <cfRule type="cellIs" dxfId="357" priority="59" operator="equal">
      <formula>"Not Mandatory"</formula>
    </cfRule>
    <cfRule type="cellIs" dxfId="356" priority="60" operator="equal">
      <formula>"Recommended"</formula>
    </cfRule>
  </conditionalFormatting>
  <conditionalFormatting sqref="G31:G33">
    <cfRule type="cellIs" dxfId="355" priority="58" operator="equal">
      <formula>"Mandatory"</formula>
    </cfRule>
  </conditionalFormatting>
  <conditionalFormatting sqref="G31:G33">
    <cfRule type="cellIs" dxfId="354" priority="56" operator="equal">
      <formula>"Not Mandatory"</formula>
    </cfRule>
    <cfRule type="cellIs" dxfId="353" priority="57" operator="equal">
      <formula>"Recommended"</formula>
    </cfRule>
  </conditionalFormatting>
  <conditionalFormatting sqref="G31:G33">
    <cfRule type="cellIs" dxfId="352" priority="54" operator="equal">
      <formula>"Not Mandatory"</formula>
    </cfRule>
    <cfRule type="cellIs" dxfId="351" priority="55" operator="equal">
      <formula>"Recommended"</formula>
    </cfRule>
  </conditionalFormatting>
  <conditionalFormatting sqref="G31:G33">
    <cfRule type="cellIs" dxfId="350" priority="52" operator="equal">
      <formula>"Not Mandatory"</formula>
    </cfRule>
    <cfRule type="cellIs" dxfId="349" priority="53" operator="equal">
      <formula>"Recommended"</formula>
    </cfRule>
  </conditionalFormatting>
  <conditionalFormatting sqref="G41">
    <cfRule type="cellIs" dxfId="348" priority="51" operator="equal">
      <formula>"Mandatory"</formula>
    </cfRule>
  </conditionalFormatting>
  <conditionalFormatting sqref="G41">
    <cfRule type="cellIs" dxfId="347" priority="49" operator="equal">
      <formula>"Not Mandatory"</formula>
    </cfRule>
    <cfRule type="cellIs" dxfId="346" priority="50" operator="equal">
      <formula>"Recommended"</formula>
    </cfRule>
  </conditionalFormatting>
  <conditionalFormatting sqref="G41">
    <cfRule type="cellIs" dxfId="345" priority="47" operator="equal">
      <formula>"Not Mandatory"</formula>
    </cfRule>
    <cfRule type="cellIs" dxfId="344" priority="48" operator="equal">
      <formula>"Recommended"</formula>
    </cfRule>
  </conditionalFormatting>
  <conditionalFormatting sqref="G41">
    <cfRule type="cellIs" dxfId="343" priority="45" operator="equal">
      <formula>"Not Mandatory"</formula>
    </cfRule>
    <cfRule type="cellIs" dxfId="342" priority="46" operator="equal">
      <formula>"Recommended"</formula>
    </cfRule>
  </conditionalFormatting>
  <conditionalFormatting sqref="G90">
    <cfRule type="cellIs" dxfId="341" priority="44" operator="equal">
      <formula>"Mandatory"</formula>
    </cfRule>
  </conditionalFormatting>
  <conditionalFormatting sqref="G90">
    <cfRule type="cellIs" dxfId="340" priority="42" operator="equal">
      <formula>"Not Mandatory"</formula>
    </cfRule>
    <cfRule type="cellIs" dxfId="339" priority="43" operator="equal">
      <formula>"Recommended"</formula>
    </cfRule>
  </conditionalFormatting>
  <conditionalFormatting sqref="G122">
    <cfRule type="cellIs" dxfId="338" priority="41" operator="equal">
      <formula>"Mandatory"</formula>
    </cfRule>
  </conditionalFormatting>
  <conditionalFormatting sqref="G122">
    <cfRule type="cellIs" dxfId="337" priority="39" operator="equal">
      <formula>"Not Mandatory"</formula>
    </cfRule>
    <cfRule type="cellIs" dxfId="336" priority="40" operator="equal">
      <formula>"Recommended"</formula>
    </cfRule>
  </conditionalFormatting>
  <conditionalFormatting sqref="G119">
    <cfRule type="cellIs" dxfId="335" priority="38" operator="equal">
      <formula>"Mandatory"</formula>
    </cfRule>
  </conditionalFormatting>
  <conditionalFormatting sqref="G119">
    <cfRule type="cellIs" dxfId="334" priority="36" operator="equal">
      <formula>"Not Mandatory"</formula>
    </cfRule>
    <cfRule type="cellIs" dxfId="333" priority="37" operator="equal">
      <formula>"Recommended"</formula>
    </cfRule>
  </conditionalFormatting>
  <conditionalFormatting sqref="G109">
    <cfRule type="cellIs" dxfId="332" priority="35" operator="equal">
      <formula>"Mandatory"</formula>
    </cfRule>
  </conditionalFormatting>
  <conditionalFormatting sqref="G109">
    <cfRule type="cellIs" dxfId="331" priority="33" operator="equal">
      <formula>"Not Mandatory"</formula>
    </cfRule>
    <cfRule type="cellIs" dxfId="330" priority="34" operator="equal">
      <formula>"Recommended"</formula>
    </cfRule>
  </conditionalFormatting>
  <conditionalFormatting sqref="G130">
    <cfRule type="cellIs" dxfId="329" priority="32" operator="equal">
      <formula>"Mandatory"</formula>
    </cfRule>
  </conditionalFormatting>
  <conditionalFormatting sqref="G130">
    <cfRule type="cellIs" dxfId="328" priority="30" operator="equal">
      <formula>"Not Mandatory"</formula>
    </cfRule>
    <cfRule type="cellIs" dxfId="327" priority="31" operator="equal">
      <formula>"Recommended"</formula>
    </cfRule>
  </conditionalFormatting>
  <conditionalFormatting sqref="G125">
    <cfRule type="cellIs" dxfId="326" priority="29" operator="equal">
      <formula>"Mandatory"</formula>
    </cfRule>
  </conditionalFormatting>
  <conditionalFormatting sqref="G125">
    <cfRule type="cellIs" dxfId="325" priority="27" operator="equal">
      <formula>"Not Mandatory"</formula>
    </cfRule>
    <cfRule type="cellIs" dxfId="324" priority="28" operator="equal">
      <formula>"Recommended"</formula>
    </cfRule>
  </conditionalFormatting>
  <conditionalFormatting sqref="G127:G129">
    <cfRule type="cellIs" dxfId="323" priority="26" operator="equal">
      <formula>"Mandatory"</formula>
    </cfRule>
  </conditionalFormatting>
  <conditionalFormatting sqref="G127:G129">
    <cfRule type="cellIs" dxfId="322" priority="24" operator="equal">
      <formula>"Not Mandatory"</formula>
    </cfRule>
    <cfRule type="cellIs" dxfId="321" priority="25" operator="equal">
      <formula>"Recommended"</formula>
    </cfRule>
  </conditionalFormatting>
  <conditionalFormatting sqref="G135:G136">
    <cfRule type="cellIs" dxfId="320" priority="23" operator="equal">
      <formula>"Mandatory"</formula>
    </cfRule>
  </conditionalFormatting>
  <conditionalFormatting sqref="G135:G136">
    <cfRule type="cellIs" dxfId="319" priority="21" operator="equal">
      <formula>"Not Mandatory"</formula>
    </cfRule>
    <cfRule type="cellIs" dxfId="318" priority="22" operator="equal">
      <formula>"Recommended"</formula>
    </cfRule>
  </conditionalFormatting>
  <conditionalFormatting sqref="G154">
    <cfRule type="cellIs" dxfId="317" priority="20" operator="equal">
      <formula>"Mandatory"</formula>
    </cfRule>
  </conditionalFormatting>
  <conditionalFormatting sqref="G154">
    <cfRule type="cellIs" dxfId="316" priority="18" operator="equal">
      <formula>"Not Mandatory"</formula>
    </cfRule>
    <cfRule type="cellIs" dxfId="315" priority="19" operator="equal">
      <formula>"Recommended"</formula>
    </cfRule>
  </conditionalFormatting>
  <conditionalFormatting sqref="G162">
    <cfRule type="cellIs" dxfId="314" priority="17" operator="equal">
      <formula>"Mandatory"</formula>
    </cfRule>
  </conditionalFormatting>
  <conditionalFormatting sqref="G162">
    <cfRule type="cellIs" dxfId="313" priority="15" operator="equal">
      <formula>"Not Mandatory"</formula>
    </cfRule>
    <cfRule type="cellIs" dxfId="312" priority="16" operator="equal">
      <formula>"Recommended"</formula>
    </cfRule>
  </conditionalFormatting>
  <conditionalFormatting sqref="G66">
    <cfRule type="cellIs" dxfId="311" priority="14" operator="equal">
      <formula>"Mandatory"</formula>
    </cfRule>
  </conditionalFormatting>
  <conditionalFormatting sqref="G66">
    <cfRule type="cellIs" dxfId="310" priority="12" operator="equal">
      <formula>"Not Mandatory"</formula>
    </cfRule>
    <cfRule type="cellIs" dxfId="309" priority="13" operator="equal">
      <formula>"Recommended"</formula>
    </cfRule>
  </conditionalFormatting>
  <conditionalFormatting sqref="G66">
    <cfRule type="cellIs" dxfId="308" priority="10" operator="equal">
      <formula>"Not Mandatory"</formula>
    </cfRule>
    <cfRule type="cellIs" dxfId="307" priority="11" operator="equal">
      <formula>"Recommended"</formula>
    </cfRule>
  </conditionalFormatting>
  <conditionalFormatting sqref="G66">
    <cfRule type="cellIs" dxfId="306" priority="8" operator="equal">
      <formula>"Not Mandatory"</formula>
    </cfRule>
    <cfRule type="cellIs" dxfId="305" priority="9" operator="equal">
      <formula>"Recommended"</formula>
    </cfRule>
  </conditionalFormatting>
  <conditionalFormatting sqref="G39">
    <cfRule type="cellIs" dxfId="304" priority="7" operator="equal">
      <formula>"Mandatory"</formula>
    </cfRule>
  </conditionalFormatting>
  <conditionalFormatting sqref="G39">
    <cfRule type="cellIs" dxfId="303" priority="5" operator="equal">
      <formula>"Not Mandatory"</formula>
    </cfRule>
    <cfRule type="cellIs" dxfId="302" priority="6" operator="equal">
      <formula>"Recommended"</formula>
    </cfRule>
  </conditionalFormatting>
  <conditionalFormatting sqref="G39">
    <cfRule type="cellIs" dxfId="301" priority="3" operator="equal">
      <formula>"Not Mandatory"</formula>
    </cfRule>
    <cfRule type="cellIs" dxfId="300" priority="4" operator="equal">
      <formula>"Recommended"</formula>
    </cfRule>
  </conditionalFormatting>
  <conditionalFormatting sqref="G39">
    <cfRule type="cellIs" dxfId="299" priority="1" operator="equal">
      <formula>"Not Mandatory"</formula>
    </cfRule>
    <cfRule type="cellIs" dxfId="298" priority="2" operator="equal">
      <formula>"Recommended"</formula>
    </cfRule>
  </conditionalFormatting>
  <dataValidations count="1">
    <dataValidation type="list" allowBlank="1" showInputMessage="1" showErrorMessage="1" sqref="F4:F213" xr:uid="{79A80DE2-5917-4572-90AE-03F959A6F011}">
      <formula1>$F$1:$F$2</formula1>
    </dataValidation>
  </dataValidations>
  <pageMargins left="0.7" right="0.7" top="0.75" bottom="0.75" header="0.3" footer="0.3"/>
  <pageSetup paperSize="66" scale="3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E696-6C13-4E26-A32B-58628BD1A72E}">
  <sheetPr codeName="Sheet11">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44965.379340277781</v>
      </c>
      <c r="H4" s="162"/>
      <c r="J4" s="2" t="b">
        <f>EXACT(G4,'Vh5205_C-99'!G4)</f>
        <v>0</v>
      </c>
    </row>
    <row r="5" spans="1:10" x14ac:dyDescent="0.35">
      <c r="A5" s="90">
        <v>2</v>
      </c>
      <c r="B5" s="10" t="s">
        <v>685</v>
      </c>
      <c r="C5" s="10" t="s">
        <v>55</v>
      </c>
      <c r="D5" s="146"/>
      <c r="E5" s="146"/>
      <c r="F5" s="19" t="s">
        <v>26</v>
      </c>
      <c r="G5" s="202">
        <v>44968.658506944448</v>
      </c>
      <c r="H5" s="58"/>
      <c r="J5" s="2" t="b">
        <f>EXACT(G5,'Vh5205_C-99'!G5)</f>
        <v>0</v>
      </c>
    </row>
    <row r="6" spans="1:10" x14ac:dyDescent="0.35">
      <c r="A6" s="90">
        <v>3</v>
      </c>
      <c r="B6" s="146" t="s">
        <v>685</v>
      </c>
      <c r="C6" s="146" t="s">
        <v>41</v>
      </c>
      <c r="D6" s="146"/>
      <c r="E6" s="146"/>
      <c r="F6" s="19" t="s">
        <v>26</v>
      </c>
      <c r="G6" s="161" t="s">
        <v>517</v>
      </c>
      <c r="H6" s="58"/>
      <c r="J6" s="2" t="b">
        <f>EXACT(G6,'Vh5205_C-99'!G6)</f>
        <v>0</v>
      </c>
    </row>
    <row r="7" spans="1:10" x14ac:dyDescent="0.35">
      <c r="A7" s="90">
        <v>4</v>
      </c>
      <c r="B7" s="146" t="s">
        <v>685</v>
      </c>
      <c r="C7" s="146" t="s">
        <v>7</v>
      </c>
      <c r="D7" s="146"/>
      <c r="E7" s="146"/>
      <c r="F7" s="19" t="s">
        <v>79</v>
      </c>
      <c r="G7" s="192" t="s">
        <v>499</v>
      </c>
      <c r="H7" s="53" t="s">
        <v>652</v>
      </c>
      <c r="J7" s="176" t="b">
        <f>EXACT(G7,'Vh5205_C-99'!G7)</f>
        <v>1</v>
      </c>
    </row>
    <row r="8" spans="1:10" x14ac:dyDescent="0.35">
      <c r="A8" s="90">
        <v>5</v>
      </c>
      <c r="B8" s="87" t="s">
        <v>685</v>
      </c>
      <c r="C8" s="87" t="s">
        <v>39</v>
      </c>
      <c r="D8" s="87"/>
      <c r="E8" s="87"/>
      <c r="F8" s="22" t="s">
        <v>79</v>
      </c>
      <c r="G8" s="194" t="s">
        <v>524</v>
      </c>
      <c r="H8" s="181" t="s">
        <v>652</v>
      </c>
      <c r="J8" s="176" t="b">
        <f>EXACT(G8,'Vh5205_C-99'!G8)</f>
        <v>1</v>
      </c>
    </row>
    <row r="9" spans="1:10" x14ac:dyDescent="0.35">
      <c r="A9" s="90">
        <v>6</v>
      </c>
      <c r="B9" s="10" t="s">
        <v>686</v>
      </c>
      <c r="C9" s="10" t="s">
        <v>301</v>
      </c>
      <c r="D9" s="10"/>
      <c r="E9" s="10"/>
      <c r="F9" s="19" t="s">
        <v>26</v>
      </c>
      <c r="G9" s="192" t="s">
        <v>196</v>
      </c>
      <c r="H9" s="163" t="s">
        <v>652</v>
      </c>
      <c r="J9" s="176" t="b">
        <f>EXACT(G9,'Vh5205_C-99'!G9)</f>
        <v>1</v>
      </c>
    </row>
    <row r="10" spans="1:10" x14ac:dyDescent="0.35">
      <c r="A10" s="90">
        <v>7</v>
      </c>
      <c r="B10" s="10" t="s">
        <v>686</v>
      </c>
      <c r="C10" s="10" t="s">
        <v>302</v>
      </c>
      <c r="D10" s="94"/>
      <c r="E10" s="146"/>
      <c r="F10" s="19" t="s">
        <v>26</v>
      </c>
      <c r="G10" s="161" t="s">
        <v>523</v>
      </c>
      <c r="H10" s="140" t="s">
        <v>652</v>
      </c>
      <c r="J10" s="176" t="b">
        <f>EXACT(G10,'Vh5205_C-99'!G10)</f>
        <v>1</v>
      </c>
    </row>
    <row r="11" spans="1:10" x14ac:dyDescent="0.35">
      <c r="A11" s="90">
        <v>8</v>
      </c>
      <c r="B11" s="146" t="s">
        <v>686</v>
      </c>
      <c r="C11" s="146" t="s">
        <v>134</v>
      </c>
      <c r="D11" s="146" t="s">
        <v>15</v>
      </c>
      <c r="E11" s="146" t="s">
        <v>85</v>
      </c>
      <c r="F11" s="19" t="s">
        <v>26</v>
      </c>
      <c r="G11" s="192" t="s">
        <v>197</v>
      </c>
      <c r="H11" s="53" t="s">
        <v>652</v>
      </c>
      <c r="J11" s="176" t="b">
        <f>EXACT(G11,'Vh5205_C-99'!G11)</f>
        <v>1</v>
      </c>
    </row>
    <row r="12" spans="1:10" x14ac:dyDescent="0.35">
      <c r="A12" s="90">
        <v>9</v>
      </c>
      <c r="B12" s="10" t="s">
        <v>686</v>
      </c>
      <c r="C12" s="10" t="s">
        <v>310</v>
      </c>
      <c r="D12" s="146"/>
      <c r="E12" s="146"/>
      <c r="F12" s="19" t="s">
        <v>26</v>
      </c>
      <c r="G12" s="192" t="s">
        <v>198</v>
      </c>
      <c r="H12" s="53" t="s">
        <v>652</v>
      </c>
      <c r="J12" s="176" t="b">
        <f>EXACT(G12,'Vh5205_C-99'!G12)</f>
        <v>1</v>
      </c>
    </row>
    <row r="13" spans="1:10" x14ac:dyDescent="0.35">
      <c r="A13" s="90">
        <v>10</v>
      </c>
      <c r="B13" s="10" t="s">
        <v>686</v>
      </c>
      <c r="C13" s="10" t="s">
        <v>311</v>
      </c>
      <c r="D13" s="146"/>
      <c r="E13" s="146"/>
      <c r="F13" s="19" t="s">
        <v>26</v>
      </c>
      <c r="G13" s="192" t="s">
        <v>199</v>
      </c>
      <c r="H13" s="53" t="s">
        <v>652</v>
      </c>
      <c r="J13" s="176" t="b">
        <f>EXACT(G13,'Vh5205_C-99'!G13)</f>
        <v>1</v>
      </c>
    </row>
    <row r="14" spans="1:10" ht="17.5" x14ac:dyDescent="0.35">
      <c r="A14" s="90">
        <v>11</v>
      </c>
      <c r="B14" s="10" t="s">
        <v>686</v>
      </c>
      <c r="C14" s="10" t="s">
        <v>123</v>
      </c>
      <c r="D14" s="146" t="s">
        <v>557</v>
      </c>
      <c r="E14" s="146" t="s">
        <v>4</v>
      </c>
      <c r="F14" s="19" t="s">
        <v>26</v>
      </c>
      <c r="G14" s="161">
        <v>230</v>
      </c>
      <c r="H14" s="140"/>
      <c r="J14" s="1" t="b">
        <f>EXACT(G14,'Vh5205_C-99'!G14)</f>
        <v>0</v>
      </c>
    </row>
    <row r="15" spans="1:10" x14ac:dyDescent="0.35">
      <c r="A15" s="90">
        <v>12</v>
      </c>
      <c r="B15" s="146" t="s">
        <v>686</v>
      </c>
      <c r="C15" s="146" t="s">
        <v>116</v>
      </c>
      <c r="D15" s="146"/>
      <c r="E15" s="146"/>
      <c r="F15" s="19" t="s">
        <v>26</v>
      </c>
      <c r="G15" s="161" t="s">
        <v>684</v>
      </c>
      <c r="H15" s="53" t="s">
        <v>652</v>
      </c>
      <c r="J15" s="176" t="b">
        <f>EXACT(G15,'Vh5205_C-99'!G15)</f>
        <v>1</v>
      </c>
    </row>
    <row r="16" spans="1:10" x14ac:dyDescent="0.35">
      <c r="A16" s="90">
        <v>13</v>
      </c>
      <c r="B16" s="10" t="s">
        <v>686</v>
      </c>
      <c r="C16" s="10" t="s">
        <v>408</v>
      </c>
      <c r="D16" s="146"/>
      <c r="E16" s="146"/>
      <c r="F16" s="19" t="s">
        <v>26</v>
      </c>
      <c r="G16" s="161" t="s">
        <v>519</v>
      </c>
      <c r="H16" s="140"/>
      <c r="J16" s="1" t="b">
        <f>EXACT(G16,'Vh5205_C-99'!G16)</f>
        <v>1</v>
      </c>
    </row>
    <row r="17" spans="1:10" x14ac:dyDescent="0.35">
      <c r="A17" s="90">
        <v>14</v>
      </c>
      <c r="B17" s="10" t="s">
        <v>686</v>
      </c>
      <c r="C17" s="10" t="s">
        <v>409</v>
      </c>
      <c r="D17" s="146"/>
      <c r="E17" s="146"/>
      <c r="F17" s="19" t="s">
        <v>26</v>
      </c>
      <c r="G17" s="161" t="s">
        <v>524</v>
      </c>
      <c r="H17" s="140"/>
      <c r="J17" s="1" t="b">
        <f>EXACT(G17,'Vh5205_C-99'!G17)</f>
        <v>1</v>
      </c>
    </row>
    <row r="18" spans="1:10" s="7" customFormat="1" x14ac:dyDescent="0.35">
      <c r="A18" s="90">
        <v>15</v>
      </c>
      <c r="B18" s="146" t="s">
        <v>686</v>
      </c>
      <c r="C18" s="146" t="s">
        <v>177</v>
      </c>
      <c r="D18" s="146"/>
      <c r="E18" s="146"/>
      <c r="F18" s="19" t="s">
        <v>26</v>
      </c>
      <c r="G18" s="161" t="s">
        <v>524</v>
      </c>
      <c r="H18" s="177"/>
      <c r="J18" s="1" t="b">
        <f>EXACT(G18,'Vh5205_C-99'!G18)</f>
        <v>1</v>
      </c>
    </row>
    <row r="19" spans="1:10" x14ac:dyDescent="0.35">
      <c r="A19" s="90">
        <v>16</v>
      </c>
      <c r="B19" s="10" t="s">
        <v>686</v>
      </c>
      <c r="C19" s="10" t="s">
        <v>124</v>
      </c>
      <c r="D19" s="146"/>
      <c r="E19" s="146" t="s">
        <v>0</v>
      </c>
      <c r="F19" s="19" t="s">
        <v>79</v>
      </c>
      <c r="G19" s="203"/>
      <c r="H19" s="140"/>
      <c r="J19" s="1" t="b">
        <f>EXACT(G19,'Vh5205_C-99'!G19)</f>
        <v>1</v>
      </c>
    </row>
    <row r="20" spans="1:10" x14ac:dyDescent="0.35">
      <c r="A20" s="90">
        <v>17</v>
      </c>
      <c r="B20" s="10" t="s">
        <v>686</v>
      </c>
      <c r="C20" s="10" t="s">
        <v>188</v>
      </c>
      <c r="D20" s="146"/>
      <c r="E20" s="146" t="s">
        <v>0</v>
      </c>
      <c r="F20" s="19" t="s">
        <v>26</v>
      </c>
      <c r="G20" s="193" t="s">
        <v>618</v>
      </c>
      <c r="H20" s="140" t="s">
        <v>652</v>
      </c>
      <c r="J20" s="176" t="b">
        <f>EXACT(G20,'Vh5205_C-99'!G20)</f>
        <v>1</v>
      </c>
    </row>
    <row r="21" spans="1:10" x14ac:dyDescent="0.35">
      <c r="A21" s="90">
        <v>18</v>
      </c>
      <c r="B21" s="13" t="s">
        <v>686</v>
      </c>
      <c r="C21" s="13" t="s">
        <v>131</v>
      </c>
      <c r="D21" s="87"/>
      <c r="E21" s="87"/>
      <c r="F21" s="22" t="s">
        <v>79</v>
      </c>
      <c r="G21" s="196"/>
      <c r="H21" s="182"/>
      <c r="J21" s="1" t="b">
        <f>EXACT(G21,'Vh5205_C-99'!G21)</f>
        <v>1</v>
      </c>
    </row>
    <row r="22" spans="1:10" x14ac:dyDescent="0.35">
      <c r="A22" s="90">
        <v>19</v>
      </c>
      <c r="B22" s="146" t="s">
        <v>687</v>
      </c>
      <c r="C22" s="146" t="s">
        <v>65</v>
      </c>
      <c r="D22" s="146"/>
      <c r="E22" s="146"/>
      <c r="F22" s="19" t="s">
        <v>79</v>
      </c>
      <c r="G22" s="192" t="s">
        <v>48</v>
      </c>
      <c r="H22" s="53" t="s">
        <v>652</v>
      </c>
      <c r="J22" s="176" t="b">
        <f>EXACT(G22,'Vh5205_C-99'!G22)</f>
        <v>1</v>
      </c>
    </row>
    <row r="23" spans="1:10" x14ac:dyDescent="0.35">
      <c r="A23" s="90">
        <v>20</v>
      </c>
      <c r="B23" s="146" t="s">
        <v>687</v>
      </c>
      <c r="C23" s="146" t="s">
        <v>69</v>
      </c>
      <c r="D23" s="146"/>
      <c r="E23" s="146"/>
      <c r="F23" s="19" t="s">
        <v>79</v>
      </c>
      <c r="G23" s="161"/>
      <c r="H23" s="140"/>
      <c r="J23" s="1" t="b">
        <f>EXACT(G23,'Vh5205_C-99'!G23)</f>
        <v>1</v>
      </c>
    </row>
    <row r="24" spans="1:10" x14ac:dyDescent="0.35">
      <c r="A24" s="90">
        <v>21</v>
      </c>
      <c r="B24" s="146" t="s">
        <v>687</v>
      </c>
      <c r="C24" s="146" t="s">
        <v>70</v>
      </c>
      <c r="D24" s="146"/>
      <c r="E24" s="146"/>
      <c r="F24" s="19" t="s">
        <v>79</v>
      </c>
      <c r="G24" s="161"/>
      <c r="H24" s="140"/>
      <c r="J24" s="1" t="b">
        <f>EXACT(G24,'Vh5205_C-99'!G24)</f>
        <v>1</v>
      </c>
    </row>
    <row r="25" spans="1:10" x14ac:dyDescent="0.35">
      <c r="A25" s="90">
        <v>22</v>
      </c>
      <c r="B25" s="146" t="s">
        <v>687</v>
      </c>
      <c r="C25" s="146" t="s">
        <v>71</v>
      </c>
      <c r="D25" s="146"/>
      <c r="E25" s="146"/>
      <c r="F25" s="19" t="s">
        <v>79</v>
      </c>
      <c r="G25" s="161"/>
      <c r="H25" s="140"/>
      <c r="J25" s="1" t="b">
        <f>EXACT(G25,'Vh5205_C-99'!G25)</f>
        <v>1</v>
      </c>
    </row>
    <row r="26" spans="1:10" x14ac:dyDescent="0.35">
      <c r="A26" s="90">
        <v>23</v>
      </c>
      <c r="B26" s="146" t="s">
        <v>687</v>
      </c>
      <c r="C26" s="146" t="s">
        <v>72</v>
      </c>
      <c r="D26" s="146"/>
      <c r="E26" s="146"/>
      <c r="F26" s="19" t="s">
        <v>79</v>
      </c>
      <c r="G26" s="161"/>
      <c r="H26" s="140"/>
      <c r="J26" s="1" t="b">
        <f>EXACT(G26,'Vh5205_C-99'!G26)</f>
        <v>1</v>
      </c>
    </row>
    <row r="27" spans="1:10" x14ac:dyDescent="0.35">
      <c r="A27" s="90">
        <v>24</v>
      </c>
      <c r="B27" s="146" t="s">
        <v>687</v>
      </c>
      <c r="C27" s="146" t="s">
        <v>81</v>
      </c>
      <c r="D27" s="146"/>
      <c r="E27" s="146"/>
      <c r="F27" s="19" t="s">
        <v>79</v>
      </c>
      <c r="G27" s="161"/>
      <c r="H27" s="140"/>
      <c r="J27" s="1" t="b">
        <f>EXACT(G27,'Vh5205_C-99'!G27)</f>
        <v>1</v>
      </c>
    </row>
    <row r="28" spans="1:10" x14ac:dyDescent="0.35">
      <c r="A28" s="90">
        <v>25</v>
      </c>
      <c r="B28" s="146" t="s">
        <v>687</v>
      </c>
      <c r="C28" s="146" t="s">
        <v>82</v>
      </c>
      <c r="D28" s="146"/>
      <c r="E28" s="146"/>
      <c r="F28" s="22" t="s">
        <v>79</v>
      </c>
      <c r="G28" s="196"/>
      <c r="H28" s="182"/>
      <c r="J28" s="1" t="b">
        <f>EXACT(G28,'Vh5205_C-99'!G28)</f>
        <v>1</v>
      </c>
    </row>
    <row r="29" spans="1:10" x14ac:dyDescent="0.35">
      <c r="A29" s="90">
        <v>26</v>
      </c>
      <c r="B29" s="99" t="s">
        <v>688</v>
      </c>
      <c r="C29" s="99" t="s">
        <v>312</v>
      </c>
      <c r="D29" s="100"/>
      <c r="E29" s="100"/>
      <c r="F29" s="18" t="s">
        <v>26</v>
      </c>
      <c r="G29" s="196" t="s">
        <v>200</v>
      </c>
      <c r="H29" s="182" t="s">
        <v>652</v>
      </c>
      <c r="J29" s="176" t="b">
        <f>EXACT(G29,'Vh5205_C-99'!G29)</f>
        <v>1</v>
      </c>
    </row>
    <row r="30" spans="1:10" x14ac:dyDescent="0.35">
      <c r="A30" s="90">
        <v>27</v>
      </c>
      <c r="B30" s="102" t="s">
        <v>689</v>
      </c>
      <c r="C30" s="102" t="s">
        <v>147</v>
      </c>
      <c r="D30" s="100"/>
      <c r="E30" s="100"/>
      <c r="F30" s="18" t="s">
        <v>79</v>
      </c>
      <c r="G30" s="161"/>
      <c r="H30" s="140"/>
      <c r="J30" s="1" t="b">
        <f>EXACT(G30,'Vh5205_C-99'!G30)</f>
        <v>1</v>
      </c>
    </row>
    <row r="31" spans="1:10" s="7" customFormat="1" ht="31" x14ac:dyDescent="0.35">
      <c r="A31" s="90">
        <v>28</v>
      </c>
      <c r="B31" s="10" t="s">
        <v>689</v>
      </c>
      <c r="C31" s="10" t="s">
        <v>324</v>
      </c>
      <c r="D31" s="146"/>
      <c r="E31" s="10"/>
      <c r="F31" s="19" t="s">
        <v>26</v>
      </c>
      <c r="G31" s="161" t="s">
        <v>460</v>
      </c>
      <c r="H31" s="177" t="s">
        <v>652</v>
      </c>
      <c r="J31" s="176" t="b">
        <f>EXACT(G31,'Vh5205_C-99'!G31)</f>
        <v>1</v>
      </c>
    </row>
    <row r="32" spans="1:10" s="7" customFormat="1" x14ac:dyDescent="0.35">
      <c r="A32" s="90">
        <v>29</v>
      </c>
      <c r="B32" s="10" t="s">
        <v>689</v>
      </c>
      <c r="C32" s="10" t="s">
        <v>303</v>
      </c>
      <c r="D32" s="146"/>
      <c r="E32" s="10"/>
      <c r="F32" s="19" t="s">
        <v>26</v>
      </c>
      <c r="G32" s="161" t="s">
        <v>461</v>
      </c>
      <c r="H32" s="177" t="s">
        <v>652</v>
      </c>
      <c r="J32" s="176" t="b">
        <f>EXACT(G32,'Vh5205_C-99'!G32)</f>
        <v>1</v>
      </c>
    </row>
    <row r="33" spans="1:10" ht="31" x14ac:dyDescent="0.35">
      <c r="A33" s="90">
        <v>30</v>
      </c>
      <c r="B33" s="10" t="s">
        <v>689</v>
      </c>
      <c r="C33" s="10" t="s">
        <v>304</v>
      </c>
      <c r="D33" s="146"/>
      <c r="E33" s="146"/>
      <c r="F33" s="19" t="s">
        <v>79</v>
      </c>
      <c r="G33" s="161" t="s">
        <v>285</v>
      </c>
      <c r="H33" s="140" t="s">
        <v>652</v>
      </c>
      <c r="J33" s="176" t="b">
        <f>EXACT(G33,'Vh5205_C-99'!G33)</f>
        <v>1</v>
      </c>
    </row>
    <row r="34" spans="1:10" x14ac:dyDescent="0.35">
      <c r="A34" s="90">
        <v>31</v>
      </c>
      <c r="B34" s="10" t="s">
        <v>689</v>
      </c>
      <c r="C34" s="10" t="s">
        <v>83</v>
      </c>
      <c r="D34" s="146"/>
      <c r="E34" s="146" t="s">
        <v>85</v>
      </c>
      <c r="F34" s="19" t="s">
        <v>79</v>
      </c>
      <c r="G34" s="192"/>
      <c r="H34" s="140"/>
      <c r="J34" s="1" t="b">
        <f>EXACT(G34,'Vh5205_C-99'!G34)</f>
        <v>1</v>
      </c>
    </row>
    <row r="35" spans="1:10" x14ac:dyDescent="0.35">
      <c r="A35" s="90">
        <v>32</v>
      </c>
      <c r="B35" s="10" t="s">
        <v>689</v>
      </c>
      <c r="C35" s="10" t="s">
        <v>84</v>
      </c>
      <c r="D35" s="146"/>
      <c r="E35" s="146"/>
      <c r="F35" s="19" t="s">
        <v>79</v>
      </c>
      <c r="G35" s="192"/>
      <c r="H35" s="140"/>
      <c r="J35" s="1" t="b">
        <f>EXACT(G35,'Vh5205_C-99'!G35)</f>
        <v>1</v>
      </c>
    </row>
    <row r="36" spans="1:10" x14ac:dyDescent="0.35">
      <c r="A36" s="90">
        <v>33</v>
      </c>
      <c r="B36" s="10" t="s">
        <v>689</v>
      </c>
      <c r="C36" s="10" t="s">
        <v>61</v>
      </c>
      <c r="D36" s="146"/>
      <c r="E36" s="146"/>
      <c r="F36" s="19" t="s">
        <v>26</v>
      </c>
      <c r="G36" s="192" t="s">
        <v>611</v>
      </c>
      <c r="H36" s="140" t="s">
        <v>652</v>
      </c>
      <c r="J36" s="176" t="b">
        <f>EXACT(G36,'Vh5205_C-99'!G36)</f>
        <v>1</v>
      </c>
    </row>
    <row r="37" spans="1:10" x14ac:dyDescent="0.35">
      <c r="A37" s="90">
        <v>34</v>
      </c>
      <c r="B37" s="13" t="s">
        <v>689</v>
      </c>
      <c r="C37" s="13" t="s">
        <v>56</v>
      </c>
      <c r="D37" s="146"/>
      <c r="E37" s="146"/>
      <c r="F37" s="22" t="s">
        <v>26</v>
      </c>
      <c r="G37" s="194" t="s">
        <v>201</v>
      </c>
      <c r="H37" s="182" t="s">
        <v>652</v>
      </c>
      <c r="J37" s="176" t="b">
        <f>EXACT(G37,'Vh5205_C-99'!G37)</f>
        <v>1</v>
      </c>
    </row>
    <row r="38" spans="1:10" s="7" customFormat="1" x14ac:dyDescent="0.35">
      <c r="A38" s="90">
        <v>35</v>
      </c>
      <c r="B38" s="10" t="s">
        <v>690</v>
      </c>
      <c r="C38" s="10" t="s">
        <v>77</v>
      </c>
      <c r="D38" s="100"/>
      <c r="E38" s="102"/>
      <c r="F38" s="19" t="s">
        <v>26</v>
      </c>
      <c r="G38" s="161" t="s">
        <v>278</v>
      </c>
      <c r="H38" s="177" t="s">
        <v>652</v>
      </c>
      <c r="J38" s="176" t="b">
        <f>EXACT(G38,'Vh5205_C-99'!G38)</f>
        <v>1</v>
      </c>
    </row>
    <row r="39" spans="1:10" s="7" customFormat="1" ht="61.5" customHeight="1" x14ac:dyDescent="0.35">
      <c r="A39" s="90">
        <v>36</v>
      </c>
      <c r="B39" s="10" t="s">
        <v>690</v>
      </c>
      <c r="C39" s="10" t="s">
        <v>560</v>
      </c>
      <c r="D39" s="146"/>
      <c r="E39" s="10"/>
      <c r="F39" s="19" t="s">
        <v>26</v>
      </c>
      <c r="G39" s="161" t="s">
        <v>716</v>
      </c>
      <c r="H39" s="177" t="s">
        <v>652</v>
      </c>
      <c r="J39" s="176" t="b">
        <f>EXACT(G39,'Vh5205_C-99'!G39)</f>
        <v>1</v>
      </c>
    </row>
    <row r="40" spans="1:10" s="7" customFormat="1" ht="31" x14ac:dyDescent="0.35">
      <c r="A40" s="90">
        <v>37</v>
      </c>
      <c r="B40" s="10" t="s">
        <v>690</v>
      </c>
      <c r="C40" s="10" t="s">
        <v>305</v>
      </c>
      <c r="D40" s="146"/>
      <c r="E40" s="10"/>
      <c r="F40" s="19" t="s">
        <v>26</v>
      </c>
      <c r="G40" s="161" t="s">
        <v>619</v>
      </c>
      <c r="H40" s="177" t="s">
        <v>652</v>
      </c>
      <c r="J40" s="176" t="b">
        <f>EXACT(G40,'Vh5205_C-99'!G40)</f>
        <v>1</v>
      </c>
    </row>
    <row r="41" spans="1:10" s="7" customFormat="1" x14ac:dyDescent="0.35">
      <c r="A41" s="90">
        <v>38</v>
      </c>
      <c r="B41" s="10" t="s">
        <v>690</v>
      </c>
      <c r="C41" s="10" t="s">
        <v>128</v>
      </c>
      <c r="D41" s="146"/>
      <c r="E41" s="10"/>
      <c r="F41" s="19" t="s">
        <v>26</v>
      </c>
      <c r="G41" s="195">
        <v>35458</v>
      </c>
      <c r="H41" s="177" t="s">
        <v>652</v>
      </c>
      <c r="J41" s="176" t="b">
        <f>EXACT(G41,'Vh5205_C-99'!G41)</f>
        <v>1</v>
      </c>
    </row>
    <row r="42" spans="1:10" s="7" customFormat="1" x14ac:dyDescent="0.35">
      <c r="A42" s="90">
        <v>39</v>
      </c>
      <c r="B42" s="10" t="s">
        <v>690</v>
      </c>
      <c r="C42" s="10" t="s">
        <v>129</v>
      </c>
      <c r="D42" s="146"/>
      <c r="E42" s="10"/>
      <c r="F42" s="19" t="s">
        <v>79</v>
      </c>
      <c r="G42" s="192"/>
      <c r="H42" s="177" t="s">
        <v>652</v>
      </c>
      <c r="J42" s="176" t="b">
        <f>EXACT(G42,'Vh5205_C-99'!G42)</f>
        <v>1</v>
      </c>
    </row>
    <row r="43" spans="1:10" s="7" customFormat="1" x14ac:dyDescent="0.35">
      <c r="A43" s="90">
        <v>40</v>
      </c>
      <c r="B43" s="13" t="s">
        <v>690</v>
      </c>
      <c r="C43" s="13" t="s">
        <v>130</v>
      </c>
      <c r="D43" s="87"/>
      <c r="E43" s="13"/>
      <c r="F43" s="22" t="s">
        <v>79</v>
      </c>
      <c r="G43" s="194"/>
      <c r="H43" s="180" t="s">
        <v>652</v>
      </c>
      <c r="J43" s="176" t="b">
        <f>EXACT(G43,'Vh5205_C-99'!G43)</f>
        <v>1</v>
      </c>
    </row>
    <row r="44" spans="1:10" x14ac:dyDescent="0.35">
      <c r="A44" s="90">
        <v>41</v>
      </c>
      <c r="B44" s="102" t="s">
        <v>691</v>
      </c>
      <c r="C44" s="102" t="s">
        <v>117</v>
      </c>
      <c r="D44" s="100"/>
      <c r="E44" s="100"/>
      <c r="F44" s="18" t="s">
        <v>26</v>
      </c>
      <c r="G44" s="161" t="s">
        <v>462</v>
      </c>
      <c r="H44" s="177" t="s">
        <v>652</v>
      </c>
      <c r="J44" s="176" t="b">
        <f>EXACT(G44,'Vh5205_C-99'!G44)</f>
        <v>1</v>
      </c>
    </row>
    <row r="45" spans="1:10" s="7" customFormat="1" x14ac:dyDescent="0.35">
      <c r="A45" s="90">
        <v>42</v>
      </c>
      <c r="B45" s="10" t="s">
        <v>691</v>
      </c>
      <c r="C45" s="10" t="s">
        <v>87</v>
      </c>
      <c r="D45" s="146"/>
      <c r="E45" s="10"/>
      <c r="F45" s="19" t="s">
        <v>79</v>
      </c>
      <c r="G45" s="192" t="s">
        <v>196</v>
      </c>
      <c r="H45" s="177" t="s">
        <v>652</v>
      </c>
      <c r="J45" s="176" t="b">
        <f>EXACT(G45,'Vh5205_C-99'!G45)</f>
        <v>1</v>
      </c>
    </row>
    <row r="46" spans="1:10" s="7" customFormat="1" x14ac:dyDescent="0.35">
      <c r="A46" s="90">
        <v>43</v>
      </c>
      <c r="B46" s="10" t="s">
        <v>691</v>
      </c>
      <c r="C46" s="10" t="s">
        <v>88</v>
      </c>
      <c r="D46" s="146"/>
      <c r="E46" s="10"/>
      <c r="F46" s="19" t="s">
        <v>79</v>
      </c>
      <c r="G46" s="192" t="s">
        <v>196</v>
      </c>
      <c r="H46" s="177" t="s">
        <v>652</v>
      </c>
      <c r="J46" s="176" t="b">
        <f>EXACT(G46,'Vh5205_C-99'!G46)</f>
        <v>1</v>
      </c>
    </row>
    <row r="47" spans="1:10" s="7" customFormat="1" x14ac:dyDescent="0.35">
      <c r="A47" s="90">
        <v>44</v>
      </c>
      <c r="B47" s="10" t="s">
        <v>691</v>
      </c>
      <c r="C47" s="10" t="s">
        <v>60</v>
      </c>
      <c r="D47" s="146"/>
      <c r="E47" s="10"/>
      <c r="F47" s="19" t="s">
        <v>79</v>
      </c>
      <c r="G47" s="192" t="s">
        <v>500</v>
      </c>
      <c r="H47" s="177" t="s">
        <v>652</v>
      </c>
      <c r="J47" s="176" t="b">
        <f>EXACT(G47,'Vh5205_C-99'!G47)</f>
        <v>1</v>
      </c>
    </row>
    <row r="48" spans="1:10" x14ac:dyDescent="0.35">
      <c r="A48" s="90">
        <v>45</v>
      </c>
      <c r="B48" s="10" t="s">
        <v>691</v>
      </c>
      <c r="C48" s="10" t="s">
        <v>90</v>
      </c>
      <c r="D48" s="146"/>
      <c r="E48" s="146"/>
      <c r="F48" s="19" t="s">
        <v>26</v>
      </c>
      <c r="G48" s="161" t="s">
        <v>649</v>
      </c>
      <c r="H48" s="177" t="s">
        <v>652</v>
      </c>
      <c r="J48" s="176" t="b">
        <f>EXACT(G48,'Vh5205_C-99'!G48)</f>
        <v>1</v>
      </c>
    </row>
    <row r="49" spans="1:10" x14ac:dyDescent="0.35">
      <c r="A49" s="90">
        <v>46</v>
      </c>
      <c r="B49" s="10" t="s">
        <v>691</v>
      </c>
      <c r="C49" s="10" t="s">
        <v>91</v>
      </c>
      <c r="D49" s="146"/>
      <c r="E49" s="146"/>
      <c r="F49" s="19" t="s">
        <v>26</v>
      </c>
      <c r="G49" s="161" t="s">
        <v>649</v>
      </c>
      <c r="H49" s="177" t="s">
        <v>652</v>
      </c>
      <c r="J49" s="176" t="b">
        <f>EXACT(G49,'Vh5205_C-99'!G49)</f>
        <v>1</v>
      </c>
    </row>
    <row r="50" spans="1:10" x14ac:dyDescent="0.35">
      <c r="A50" s="90">
        <v>47</v>
      </c>
      <c r="B50" s="13" t="s">
        <v>691</v>
      </c>
      <c r="C50" s="13" t="s">
        <v>86</v>
      </c>
      <c r="D50" s="87"/>
      <c r="E50" s="87"/>
      <c r="F50" s="22" t="s">
        <v>79</v>
      </c>
      <c r="G50" s="194"/>
      <c r="H50" s="180"/>
      <c r="J50" s="1" t="b">
        <f>EXACT(G50,'Vh5205_C-99'!G50)</f>
        <v>1</v>
      </c>
    </row>
    <row r="51" spans="1:10" s="7" customFormat="1" x14ac:dyDescent="0.35">
      <c r="A51" s="90">
        <v>48</v>
      </c>
      <c r="B51" s="10" t="s">
        <v>692</v>
      </c>
      <c r="C51" s="10" t="s">
        <v>95</v>
      </c>
      <c r="D51" s="146"/>
      <c r="E51" s="10" t="s">
        <v>92</v>
      </c>
      <c r="F51" s="19" t="s">
        <v>26</v>
      </c>
      <c r="G51" s="161" t="s">
        <v>680</v>
      </c>
      <c r="H51" s="177" t="s">
        <v>652</v>
      </c>
      <c r="J51" s="176" t="b">
        <f>EXACT(G51,'Vh5205_C-99'!G51)</f>
        <v>1</v>
      </c>
    </row>
    <row r="52" spans="1:10" s="7" customFormat="1" x14ac:dyDescent="0.35">
      <c r="A52" s="90">
        <v>49</v>
      </c>
      <c r="B52" s="10" t="s">
        <v>692</v>
      </c>
      <c r="C52" s="10" t="s">
        <v>96</v>
      </c>
      <c r="D52" s="146"/>
      <c r="E52" s="10" t="s">
        <v>92</v>
      </c>
      <c r="F52" s="19" t="s">
        <v>26</v>
      </c>
      <c r="G52" s="161" t="s">
        <v>681</v>
      </c>
      <c r="H52" s="177" t="s">
        <v>652</v>
      </c>
      <c r="J52" s="176" t="b">
        <f>EXACT(G52,'Vh5205_C-99'!G52)</f>
        <v>1</v>
      </c>
    </row>
    <row r="53" spans="1:10" s="7" customFormat="1" x14ac:dyDescent="0.35">
      <c r="A53" s="90">
        <v>50</v>
      </c>
      <c r="B53" s="10" t="s">
        <v>692</v>
      </c>
      <c r="C53" s="10" t="s">
        <v>149</v>
      </c>
      <c r="D53" s="146"/>
      <c r="E53" s="10"/>
      <c r="F53" s="19" t="s">
        <v>26</v>
      </c>
      <c r="G53" s="161" t="s">
        <v>681</v>
      </c>
      <c r="H53" s="177" t="s">
        <v>652</v>
      </c>
      <c r="J53" s="176" t="b">
        <f>EXACT(G53,'Vh5205_C-99'!G53)</f>
        <v>1</v>
      </c>
    </row>
    <row r="54" spans="1:10" s="7" customFormat="1" x14ac:dyDescent="0.35">
      <c r="A54" s="90">
        <v>51</v>
      </c>
      <c r="B54" s="10" t="s">
        <v>692</v>
      </c>
      <c r="C54" s="10" t="s">
        <v>148</v>
      </c>
      <c r="D54" s="10"/>
      <c r="E54" s="10"/>
      <c r="F54" s="19" t="s">
        <v>79</v>
      </c>
      <c r="G54" s="161" t="s">
        <v>467</v>
      </c>
      <c r="H54" s="177" t="s">
        <v>652</v>
      </c>
      <c r="J54" s="176" t="b">
        <f>EXACT(G54,'Vh5205_C-99'!G54)</f>
        <v>1</v>
      </c>
    </row>
    <row r="55" spans="1:10" s="7" customFormat="1" x14ac:dyDescent="0.35">
      <c r="A55" s="90">
        <v>52</v>
      </c>
      <c r="B55" s="10" t="s">
        <v>692</v>
      </c>
      <c r="C55" s="10" t="s">
        <v>100</v>
      </c>
      <c r="D55" s="146"/>
      <c r="E55" s="10"/>
      <c r="F55" s="19" t="s">
        <v>79</v>
      </c>
      <c r="G55" s="192"/>
      <c r="H55" s="177"/>
      <c r="J55" s="1" t="b">
        <f>EXACT(G55,'Vh5205_C-99'!G55)</f>
        <v>1</v>
      </c>
    </row>
    <row r="56" spans="1:10" s="7" customFormat="1" x14ac:dyDescent="0.35">
      <c r="A56" s="90">
        <v>53</v>
      </c>
      <c r="B56" s="13" t="s">
        <v>692</v>
      </c>
      <c r="C56" s="13" t="s">
        <v>101</v>
      </c>
      <c r="D56" s="87"/>
      <c r="E56" s="13"/>
      <c r="F56" s="22" t="s">
        <v>79</v>
      </c>
      <c r="G56" s="194"/>
      <c r="H56" s="180"/>
      <c r="J56" s="1" t="b">
        <f>EXACT(G56,'Vh5205_C-99'!G56)</f>
        <v>1</v>
      </c>
    </row>
    <row r="57" spans="1:10" s="7" customFormat="1" x14ac:dyDescent="0.35">
      <c r="A57" s="90">
        <v>54</v>
      </c>
      <c r="B57" s="102" t="s">
        <v>693</v>
      </c>
      <c r="C57" s="102" t="s">
        <v>93</v>
      </c>
      <c r="D57" s="146"/>
      <c r="E57" s="10"/>
      <c r="F57" s="19" t="s">
        <v>26</v>
      </c>
      <c r="G57" s="161" t="s">
        <v>483</v>
      </c>
      <c r="H57" s="177" t="s">
        <v>652</v>
      </c>
      <c r="J57" s="176" t="b">
        <f>EXACT(G57,'Vh5205_C-99'!G57)</f>
        <v>1</v>
      </c>
    </row>
    <row r="58" spans="1:10" s="7" customFormat="1" x14ac:dyDescent="0.35">
      <c r="A58" s="90">
        <v>55</v>
      </c>
      <c r="B58" s="10" t="s">
        <v>693</v>
      </c>
      <c r="C58" s="10" t="s">
        <v>104</v>
      </c>
      <c r="D58" s="146"/>
      <c r="E58" s="10" t="s">
        <v>51</v>
      </c>
      <c r="F58" s="19" t="s">
        <v>26</v>
      </c>
      <c r="G58" s="161" t="s">
        <v>524</v>
      </c>
      <c r="H58" s="177" t="s">
        <v>652</v>
      </c>
      <c r="J58" s="176" t="b">
        <f>EXACT(G58,'Vh5205_C-99'!G58)</f>
        <v>1</v>
      </c>
    </row>
    <row r="59" spans="1:10" s="7" customFormat="1" x14ac:dyDescent="0.35">
      <c r="A59" s="90">
        <v>56</v>
      </c>
      <c r="B59" s="104" t="s">
        <v>693</v>
      </c>
      <c r="C59" s="104" t="s">
        <v>418</v>
      </c>
      <c r="D59" s="104"/>
      <c r="E59" s="104"/>
      <c r="F59" s="19" t="s">
        <v>26</v>
      </c>
      <c r="G59" s="161" t="s">
        <v>524</v>
      </c>
      <c r="H59" s="177" t="s">
        <v>652</v>
      </c>
      <c r="J59" s="176" t="b">
        <f>EXACT(G59,'Vh5205_C-99'!G59)</f>
        <v>1</v>
      </c>
    </row>
    <row r="60" spans="1:10" s="7" customFormat="1" x14ac:dyDescent="0.35">
      <c r="A60" s="90">
        <v>57</v>
      </c>
      <c r="B60" s="10" t="s">
        <v>693</v>
      </c>
      <c r="C60" s="10" t="s">
        <v>103</v>
      </c>
      <c r="D60" s="146"/>
      <c r="E60" s="10"/>
      <c r="F60" s="19" t="s">
        <v>79</v>
      </c>
      <c r="G60" s="161" t="s">
        <v>524</v>
      </c>
      <c r="H60" s="177" t="s">
        <v>652</v>
      </c>
      <c r="J60" s="176" t="b">
        <f>EXACT(G60,'Vh5205_C-99'!G60)</f>
        <v>1</v>
      </c>
    </row>
    <row r="61" spans="1:10" s="7" customFormat="1" x14ac:dyDescent="0.35">
      <c r="A61" s="90">
        <v>58</v>
      </c>
      <c r="B61" s="10" t="s">
        <v>693</v>
      </c>
      <c r="C61" s="10" t="s">
        <v>125</v>
      </c>
      <c r="D61" s="146"/>
      <c r="E61" s="10" t="s">
        <v>1</v>
      </c>
      <c r="F61" s="19" t="s">
        <v>79</v>
      </c>
      <c r="G61" s="161"/>
      <c r="H61" s="177"/>
      <c r="J61" s="2" t="b">
        <f>EXACT(G61,'Vh5205_C-99'!G61)</f>
        <v>1</v>
      </c>
    </row>
    <row r="62" spans="1:10" s="7" customFormat="1" x14ac:dyDescent="0.35">
      <c r="A62" s="90">
        <v>59</v>
      </c>
      <c r="B62" s="10" t="s">
        <v>693</v>
      </c>
      <c r="C62" s="10" t="s">
        <v>62</v>
      </c>
      <c r="D62" s="146"/>
      <c r="E62" s="10" t="s">
        <v>51</v>
      </c>
      <c r="F62" s="19" t="s">
        <v>79</v>
      </c>
      <c r="G62" s="161"/>
      <c r="H62" s="177"/>
      <c r="J62" s="1" t="b">
        <f>EXACT(G62,'Vh5205_C-99'!G62)</f>
        <v>1</v>
      </c>
    </row>
    <row r="63" spans="1:10" s="7" customFormat="1" x14ac:dyDescent="0.35">
      <c r="A63" s="90">
        <v>60</v>
      </c>
      <c r="B63" s="10" t="s">
        <v>693</v>
      </c>
      <c r="C63" s="10" t="s">
        <v>63</v>
      </c>
      <c r="D63" s="146"/>
      <c r="E63" s="10" t="s">
        <v>51</v>
      </c>
      <c r="F63" s="19" t="s">
        <v>79</v>
      </c>
      <c r="G63" s="161"/>
      <c r="H63" s="177"/>
      <c r="J63" s="1" t="b">
        <f>EXACT(G63,'Vh5205_C-99'!G63)</f>
        <v>1</v>
      </c>
    </row>
    <row r="64" spans="1:10" s="7" customFormat="1" x14ac:dyDescent="0.35">
      <c r="A64" s="90">
        <v>61</v>
      </c>
      <c r="B64" s="10" t="s">
        <v>693</v>
      </c>
      <c r="C64" s="10" t="s">
        <v>126</v>
      </c>
      <c r="D64" s="146"/>
      <c r="E64" s="10"/>
      <c r="F64" s="19" t="s">
        <v>79</v>
      </c>
      <c r="G64" s="161"/>
      <c r="H64" s="177"/>
      <c r="J64" s="1" t="b">
        <f>EXACT(G64,'Vh5205_C-99'!G64)</f>
        <v>1</v>
      </c>
    </row>
    <row r="65" spans="1:10" s="7" customFormat="1" x14ac:dyDescent="0.35">
      <c r="A65" s="90">
        <v>62</v>
      </c>
      <c r="B65" s="10" t="s">
        <v>693</v>
      </c>
      <c r="C65" s="10" t="s">
        <v>52</v>
      </c>
      <c r="D65" s="146"/>
      <c r="E65" s="10"/>
      <c r="F65" s="19" t="s">
        <v>79</v>
      </c>
      <c r="G65" s="161"/>
      <c r="H65" s="177"/>
      <c r="J65" s="1" t="b">
        <f>EXACT(G65,'Vh5205_C-99'!G65)</f>
        <v>1</v>
      </c>
    </row>
    <row r="66" spans="1:10" s="7" customFormat="1" x14ac:dyDescent="0.35">
      <c r="A66" s="90">
        <v>63</v>
      </c>
      <c r="B66" s="10" t="s">
        <v>693</v>
      </c>
      <c r="C66" s="10" t="s">
        <v>189</v>
      </c>
      <c r="D66" s="146"/>
      <c r="E66" s="10"/>
      <c r="F66" s="19" t="s">
        <v>79</v>
      </c>
      <c r="G66" s="161" t="s">
        <v>682</v>
      </c>
      <c r="H66" s="177" t="s">
        <v>652</v>
      </c>
      <c r="J66" s="176" t="b">
        <f>EXACT(G66,'Vh5205_C-99'!G66)</f>
        <v>1</v>
      </c>
    </row>
    <row r="67" spans="1:10" s="7" customFormat="1" x14ac:dyDescent="0.35">
      <c r="A67" s="90">
        <v>64</v>
      </c>
      <c r="B67" s="10" t="s">
        <v>693</v>
      </c>
      <c r="C67" s="10" t="s">
        <v>190</v>
      </c>
      <c r="D67" s="146"/>
      <c r="E67" s="10"/>
      <c r="F67" s="19" t="s">
        <v>79</v>
      </c>
      <c r="G67" s="192"/>
      <c r="H67" s="177"/>
      <c r="J67" s="1" t="b">
        <f>EXACT(G67,'Vh5205_C-99'!G67)</f>
        <v>1</v>
      </c>
    </row>
    <row r="68" spans="1:10" s="7" customFormat="1" x14ac:dyDescent="0.35">
      <c r="A68" s="90">
        <v>65</v>
      </c>
      <c r="B68" s="10" t="s">
        <v>693</v>
      </c>
      <c r="C68" s="10" t="s">
        <v>382</v>
      </c>
      <c r="D68" s="146"/>
      <c r="E68" s="10"/>
      <c r="F68" s="19" t="s">
        <v>79</v>
      </c>
      <c r="G68" s="161" t="s">
        <v>620</v>
      </c>
      <c r="H68" s="177" t="s">
        <v>652</v>
      </c>
      <c r="J68" s="176" t="b">
        <f>EXACT(G68,'Vh5205_C-99'!G68)</f>
        <v>1</v>
      </c>
    </row>
    <row r="69" spans="1:10" s="7" customFormat="1" ht="31" x14ac:dyDescent="0.35">
      <c r="A69" s="90">
        <v>66</v>
      </c>
      <c r="B69" s="10" t="s">
        <v>693</v>
      </c>
      <c r="C69" s="10" t="s">
        <v>419</v>
      </c>
      <c r="D69" s="146"/>
      <c r="E69" s="10" t="s">
        <v>480</v>
      </c>
      <c r="F69" s="19" t="s">
        <v>26</v>
      </c>
      <c r="G69" s="161" t="s">
        <v>650</v>
      </c>
      <c r="H69" s="177" t="s">
        <v>652</v>
      </c>
      <c r="J69" s="176" t="b">
        <f>EXACT(G69,'Vh5205_C-99'!G69)</f>
        <v>1</v>
      </c>
    </row>
    <row r="70" spans="1:10" s="7" customFormat="1" ht="31" x14ac:dyDescent="0.35">
      <c r="A70" s="90">
        <v>67</v>
      </c>
      <c r="B70" s="104" t="s">
        <v>693</v>
      </c>
      <c r="C70" s="104" t="s">
        <v>420</v>
      </c>
      <c r="D70" s="104"/>
      <c r="E70" s="104"/>
      <c r="F70" s="19" t="s">
        <v>26</v>
      </c>
      <c r="G70" s="161" t="s">
        <v>717</v>
      </c>
      <c r="H70" s="177" t="s">
        <v>652</v>
      </c>
      <c r="J70" s="176" t="b">
        <f>EXACT(G70,'Vh5205_C-99'!G70)</f>
        <v>1</v>
      </c>
    </row>
    <row r="71" spans="1:10" s="7" customFormat="1" x14ac:dyDescent="0.35">
      <c r="A71" s="90">
        <v>68</v>
      </c>
      <c r="B71" s="104" t="s">
        <v>693</v>
      </c>
      <c r="C71" s="104" t="s">
        <v>421</v>
      </c>
      <c r="D71" s="107"/>
      <c r="E71" s="107"/>
      <c r="F71" s="22" t="s">
        <v>79</v>
      </c>
      <c r="G71" s="196"/>
      <c r="H71" s="180"/>
      <c r="J71" s="1" t="b">
        <f>EXACT(G71,'Vh5205_C-99'!G71)</f>
        <v>1</v>
      </c>
    </row>
    <row r="72" spans="1:10" s="7" customFormat="1" x14ac:dyDescent="0.35">
      <c r="A72" s="90">
        <v>69</v>
      </c>
      <c r="B72" s="102" t="s">
        <v>694</v>
      </c>
      <c r="C72" s="102" t="s">
        <v>422</v>
      </c>
      <c r="D72" s="10"/>
      <c r="E72" s="10"/>
      <c r="F72" s="19" t="s">
        <v>79</v>
      </c>
      <c r="G72" s="161"/>
      <c r="H72" s="177"/>
      <c r="J72" s="1" t="b">
        <f>EXACT(G72,'Vh5205_C-99'!G72)</f>
        <v>1</v>
      </c>
    </row>
    <row r="73" spans="1:10" s="7" customFormat="1" x14ac:dyDescent="0.35">
      <c r="A73" s="90">
        <v>70</v>
      </c>
      <c r="B73" s="13" t="s">
        <v>694</v>
      </c>
      <c r="C73" s="13" t="s">
        <v>102</v>
      </c>
      <c r="D73" s="87"/>
      <c r="E73" s="13"/>
      <c r="F73" s="22" t="s">
        <v>79</v>
      </c>
      <c r="G73" s="196"/>
      <c r="H73" s="180"/>
      <c r="J73" s="1" t="b">
        <f>EXACT(G73,'Vh5205_C-99'!G73)</f>
        <v>1</v>
      </c>
    </row>
    <row r="74" spans="1:10" s="7" customFormat="1" x14ac:dyDescent="0.35">
      <c r="A74" s="90">
        <v>71</v>
      </c>
      <c r="B74" s="10" t="s">
        <v>695</v>
      </c>
      <c r="C74" s="10" t="s">
        <v>127</v>
      </c>
      <c r="D74" s="146"/>
      <c r="E74" s="10" t="s">
        <v>4</v>
      </c>
      <c r="F74" s="19" t="s">
        <v>79</v>
      </c>
      <c r="G74" s="161"/>
      <c r="H74" s="177"/>
      <c r="J74" s="1" t="b">
        <f>EXACT(G74,'Vh5205_C-99'!G74)</f>
        <v>1</v>
      </c>
    </row>
    <row r="75" spans="1:10" s="7" customFormat="1" x14ac:dyDescent="0.35">
      <c r="A75" s="90">
        <v>72</v>
      </c>
      <c r="B75" s="10" t="s">
        <v>695</v>
      </c>
      <c r="C75" s="10" t="s">
        <v>298</v>
      </c>
      <c r="D75" s="146"/>
      <c r="E75" s="10" t="s">
        <v>4</v>
      </c>
      <c r="F75" s="19" t="s">
        <v>79</v>
      </c>
      <c r="G75" s="192" t="s">
        <v>655</v>
      </c>
      <c r="H75" s="177" t="s">
        <v>652</v>
      </c>
      <c r="J75" s="176" t="b">
        <f>EXACT(G75,'Vh5205_C-99'!G75)</f>
        <v>1</v>
      </c>
    </row>
    <row r="76" spans="1:10" s="7" customFormat="1" x14ac:dyDescent="0.35">
      <c r="A76" s="90">
        <v>73</v>
      </c>
      <c r="B76" s="10" t="s">
        <v>695</v>
      </c>
      <c r="C76" s="10" t="s">
        <v>115</v>
      </c>
      <c r="D76" s="146"/>
      <c r="E76" s="10"/>
      <c r="F76" s="22" t="s">
        <v>79</v>
      </c>
      <c r="G76" s="196"/>
      <c r="H76" s="180"/>
      <c r="J76" s="1" t="b">
        <f>EXACT(G76,'Vh5205_C-99'!G76)</f>
        <v>1</v>
      </c>
    </row>
    <row r="77" spans="1:10" x14ac:dyDescent="0.35">
      <c r="A77" s="90">
        <v>74</v>
      </c>
      <c r="B77" s="100" t="s">
        <v>696</v>
      </c>
      <c r="C77" s="100" t="s">
        <v>43</v>
      </c>
      <c r="D77" s="100"/>
      <c r="E77" s="100"/>
      <c r="F77" s="19" t="s">
        <v>79</v>
      </c>
      <c r="G77" s="161" t="s">
        <v>517</v>
      </c>
      <c r="H77" s="140"/>
      <c r="J77" s="1" t="b">
        <f>EXACT(G77,'Vh5205_C-99'!G77)</f>
        <v>0</v>
      </c>
    </row>
    <row r="78" spans="1:10" x14ac:dyDescent="0.35">
      <c r="A78" s="90">
        <v>75</v>
      </c>
      <c r="B78" s="146" t="s">
        <v>696</v>
      </c>
      <c r="C78" s="146" t="s">
        <v>114</v>
      </c>
      <c r="D78" s="146"/>
      <c r="E78" s="146"/>
      <c r="F78" s="19" t="s">
        <v>79</v>
      </c>
      <c r="G78" s="161"/>
      <c r="H78" s="140"/>
      <c r="J78" s="1" t="b">
        <f>EXACT(G78,'Vh5205_C-99'!G78)</f>
        <v>1</v>
      </c>
    </row>
    <row r="79" spans="1:10" x14ac:dyDescent="0.35">
      <c r="A79" s="90">
        <v>76</v>
      </c>
      <c r="B79" s="10" t="s">
        <v>696</v>
      </c>
      <c r="C79" s="10" t="s">
        <v>338</v>
      </c>
      <c r="D79" s="146"/>
      <c r="E79" s="146"/>
      <c r="F79" s="19" t="s">
        <v>79</v>
      </c>
      <c r="G79" s="192" t="s">
        <v>615</v>
      </c>
      <c r="H79" s="140" t="s">
        <v>652</v>
      </c>
      <c r="J79" s="176" t="b">
        <f>EXACT(G79,'Vh5205_C-99'!G79)</f>
        <v>1</v>
      </c>
    </row>
    <row r="80" spans="1:10" x14ac:dyDescent="0.35">
      <c r="A80" s="90">
        <v>77</v>
      </c>
      <c r="B80" s="10" t="s">
        <v>696</v>
      </c>
      <c r="C80" s="10" t="s">
        <v>150</v>
      </c>
      <c r="D80" s="146"/>
      <c r="E80" s="146"/>
      <c r="F80" s="19" t="s">
        <v>26</v>
      </c>
      <c r="G80" s="192" t="s">
        <v>612</v>
      </c>
      <c r="H80" s="140" t="s">
        <v>652</v>
      </c>
      <c r="J80" s="176" t="b">
        <f>EXACT(G80,'Vh5205_C-99'!G80)</f>
        <v>1</v>
      </c>
    </row>
    <row r="81" spans="1:10" x14ac:dyDescent="0.35">
      <c r="A81" s="90">
        <v>78</v>
      </c>
      <c r="B81" s="10" t="s">
        <v>696</v>
      </c>
      <c r="C81" s="10" t="s">
        <v>152</v>
      </c>
      <c r="D81" s="146"/>
      <c r="E81" s="146"/>
      <c r="F81" s="19" t="s">
        <v>26</v>
      </c>
      <c r="G81" s="192" t="s">
        <v>267</v>
      </c>
      <c r="H81" s="140" t="s">
        <v>652</v>
      </c>
      <c r="J81" s="176" t="b">
        <f>EXACT(G81,'Vh5205_C-99'!G81)</f>
        <v>1</v>
      </c>
    </row>
    <row r="82" spans="1:10" x14ac:dyDescent="0.35">
      <c r="A82" s="90">
        <v>79</v>
      </c>
      <c r="B82" s="10" t="s">
        <v>696</v>
      </c>
      <c r="C82" s="10" t="s">
        <v>153</v>
      </c>
      <c r="D82" s="146"/>
      <c r="E82" s="146"/>
      <c r="F82" s="19" t="s">
        <v>26</v>
      </c>
      <c r="G82" s="192" t="s">
        <v>268</v>
      </c>
      <c r="H82" s="140" t="s">
        <v>652</v>
      </c>
      <c r="J82" s="176" t="b">
        <f>EXACT(G82,'Vh5205_C-99'!G82)</f>
        <v>1</v>
      </c>
    </row>
    <row r="83" spans="1:10" ht="31" x14ac:dyDescent="0.35">
      <c r="A83" s="90">
        <v>80</v>
      </c>
      <c r="B83" s="10" t="s">
        <v>696</v>
      </c>
      <c r="C83" s="10" t="s">
        <v>9</v>
      </c>
      <c r="D83" s="146"/>
      <c r="E83" s="146"/>
      <c r="F83" s="19" t="s">
        <v>26</v>
      </c>
      <c r="G83" s="161" t="s">
        <v>715</v>
      </c>
      <c r="H83" s="140" t="s">
        <v>652</v>
      </c>
      <c r="J83" s="176" t="b">
        <f>EXACT(G83,'Vh5205_C-99'!G83)</f>
        <v>1</v>
      </c>
    </row>
    <row r="84" spans="1:10" x14ac:dyDescent="0.35">
      <c r="A84" s="90">
        <v>81</v>
      </c>
      <c r="B84" s="10" t="s">
        <v>696</v>
      </c>
      <c r="C84" s="10" t="s">
        <v>339</v>
      </c>
      <c r="D84" s="146"/>
      <c r="E84" s="146"/>
      <c r="F84" s="19" t="s">
        <v>26</v>
      </c>
      <c r="G84" s="161" t="s">
        <v>718</v>
      </c>
      <c r="H84" s="140" t="s">
        <v>652</v>
      </c>
      <c r="J84" s="176" t="b">
        <f>EXACT(G84,'Vh5205_C-99'!G84)</f>
        <v>1</v>
      </c>
    </row>
    <row r="85" spans="1:10" ht="31" x14ac:dyDescent="0.35">
      <c r="A85" s="90">
        <v>82</v>
      </c>
      <c r="B85" s="10" t="s">
        <v>696</v>
      </c>
      <c r="C85" s="10" t="s">
        <v>573</v>
      </c>
      <c r="D85" s="146"/>
      <c r="E85" s="146"/>
      <c r="F85" s="19" t="s">
        <v>26</v>
      </c>
      <c r="G85" s="161" t="s">
        <v>537</v>
      </c>
      <c r="H85" s="140" t="s">
        <v>652</v>
      </c>
      <c r="J85" s="176" t="b">
        <f>EXACT(G85,'Vh5205_C-99'!G85)</f>
        <v>1</v>
      </c>
    </row>
    <row r="86" spans="1:10" s="7" customFormat="1" ht="46.5" x14ac:dyDescent="0.35">
      <c r="A86" s="90">
        <v>83</v>
      </c>
      <c r="B86" s="13" t="s">
        <v>696</v>
      </c>
      <c r="C86" s="13" t="s">
        <v>133</v>
      </c>
      <c r="D86" s="87"/>
      <c r="E86" s="87" t="s">
        <v>51</v>
      </c>
      <c r="F86" s="22" t="s">
        <v>79</v>
      </c>
      <c r="G86" s="196" t="s">
        <v>651</v>
      </c>
      <c r="H86" s="182" t="s">
        <v>652</v>
      </c>
      <c r="J86" s="176" t="b">
        <f>EXACT(G86,'Vh5205_C-99'!G86)</f>
        <v>1</v>
      </c>
    </row>
    <row r="87" spans="1:10" x14ac:dyDescent="0.35">
      <c r="A87" s="90">
        <v>84</v>
      </c>
      <c r="B87" s="146" t="s">
        <v>697</v>
      </c>
      <c r="C87" s="146" t="s">
        <v>299</v>
      </c>
      <c r="D87" s="94"/>
      <c r="E87" s="146"/>
      <c r="F87" s="19" t="s">
        <v>79</v>
      </c>
      <c r="G87" s="204" t="s">
        <v>502</v>
      </c>
      <c r="H87" s="140" t="s">
        <v>652</v>
      </c>
      <c r="J87" s="176" t="b">
        <f>EXACT(G87,'Vh5205_C-99'!G87)</f>
        <v>1</v>
      </c>
    </row>
    <row r="88" spans="1:10" x14ac:dyDescent="0.35">
      <c r="A88" s="90">
        <v>85</v>
      </c>
      <c r="B88" s="10" t="s">
        <v>697</v>
      </c>
      <c r="C88" s="10" t="s">
        <v>300</v>
      </c>
      <c r="D88" s="94"/>
      <c r="E88" s="146"/>
      <c r="F88" s="19" t="s">
        <v>79</v>
      </c>
      <c r="G88" s="192" t="s">
        <v>617</v>
      </c>
      <c r="H88" s="140" t="s">
        <v>652</v>
      </c>
      <c r="J88" s="176" t="b">
        <f>EXACT(G88,'Vh5205_C-99'!G88)</f>
        <v>1</v>
      </c>
    </row>
    <row r="89" spans="1:10" x14ac:dyDescent="0.35">
      <c r="A89" s="90">
        <v>86</v>
      </c>
      <c r="B89" s="10" t="s">
        <v>697</v>
      </c>
      <c r="C89" s="10" t="s">
        <v>156</v>
      </c>
      <c r="D89" s="146"/>
      <c r="E89" s="146" t="s">
        <v>0</v>
      </c>
      <c r="F89" s="19" t="s">
        <v>79</v>
      </c>
      <c r="G89" s="192">
        <v>1</v>
      </c>
      <c r="H89" s="140" t="s">
        <v>652</v>
      </c>
      <c r="J89" s="176" t="b">
        <f>EXACT(G89,'Vh5205_C-99'!G89)</f>
        <v>1</v>
      </c>
    </row>
    <row r="90" spans="1:10" x14ac:dyDescent="0.35">
      <c r="A90" s="90">
        <v>87</v>
      </c>
      <c r="B90" s="10" t="s">
        <v>697</v>
      </c>
      <c r="C90" s="10" t="s">
        <v>132</v>
      </c>
      <c r="D90" s="146"/>
      <c r="E90" s="146" t="s">
        <v>0</v>
      </c>
      <c r="F90" s="19" t="s">
        <v>79</v>
      </c>
      <c r="G90" s="192">
        <v>20</v>
      </c>
      <c r="H90" s="140" t="s">
        <v>652</v>
      </c>
      <c r="J90" s="176" t="b">
        <f>EXACT(G90,'Vh5205_C-99'!G90)</f>
        <v>1</v>
      </c>
    </row>
    <row r="91" spans="1:10" s="7" customFormat="1" x14ac:dyDescent="0.35">
      <c r="A91" s="90">
        <v>88</v>
      </c>
      <c r="B91" s="10" t="s">
        <v>697</v>
      </c>
      <c r="C91" s="10" t="s">
        <v>343</v>
      </c>
      <c r="D91" s="146"/>
      <c r="E91" s="146"/>
      <c r="F91" s="20" t="s">
        <v>26</v>
      </c>
      <c r="G91" s="161" t="s">
        <v>625</v>
      </c>
      <c r="H91" s="140" t="s">
        <v>652</v>
      </c>
      <c r="J91" s="176" t="b">
        <f>EXACT(G91,'Vh5205_C-99'!G91)</f>
        <v>1</v>
      </c>
    </row>
    <row r="92" spans="1:10" s="7" customFormat="1" ht="31" x14ac:dyDescent="0.35">
      <c r="A92" s="90">
        <v>89</v>
      </c>
      <c r="B92" s="10" t="s">
        <v>697</v>
      </c>
      <c r="C92" s="10" t="s">
        <v>425</v>
      </c>
      <c r="D92" s="146"/>
      <c r="E92" s="146"/>
      <c r="F92" s="20" t="s">
        <v>26</v>
      </c>
      <c r="G92" s="161" t="s">
        <v>621</v>
      </c>
      <c r="H92" s="140" t="s">
        <v>652</v>
      </c>
      <c r="J92" s="176" t="b">
        <f>EXACT(G92,'Vh5205_C-99'!G92)</f>
        <v>1</v>
      </c>
    </row>
    <row r="93" spans="1:10" ht="31" x14ac:dyDescent="0.35">
      <c r="A93" s="90">
        <v>90</v>
      </c>
      <c r="B93" s="87" t="s">
        <v>697</v>
      </c>
      <c r="C93" s="87" t="s">
        <v>157</v>
      </c>
      <c r="D93" s="87"/>
      <c r="E93" s="87"/>
      <c r="F93" s="21" t="s">
        <v>26</v>
      </c>
      <c r="G93" s="196" t="s">
        <v>719</v>
      </c>
      <c r="H93" s="182" t="s">
        <v>652</v>
      </c>
      <c r="J93" s="176" t="b">
        <f>EXACT(G93,'Vh5205_C-99'!G93)</f>
        <v>1</v>
      </c>
    </row>
    <row r="94" spans="1:10" s="7" customFormat="1" x14ac:dyDescent="0.35">
      <c r="A94" s="90">
        <v>91</v>
      </c>
      <c r="B94" s="10" t="s">
        <v>698</v>
      </c>
      <c r="C94" s="10" t="s">
        <v>159</v>
      </c>
      <c r="D94" s="146"/>
      <c r="E94" s="146"/>
      <c r="F94" s="19" t="s">
        <v>79</v>
      </c>
      <c r="G94" s="197" t="s">
        <v>385</v>
      </c>
      <c r="H94" s="140" t="s">
        <v>652</v>
      </c>
      <c r="J94" s="176" t="b">
        <f>EXACT(G94,'Vh5205_C-99'!G94)</f>
        <v>1</v>
      </c>
    </row>
    <row r="95" spans="1:10" s="7" customFormat="1" x14ac:dyDescent="0.35">
      <c r="A95" s="90">
        <v>92</v>
      </c>
      <c r="B95" s="146" t="s">
        <v>698</v>
      </c>
      <c r="C95" s="146" t="s">
        <v>426</v>
      </c>
      <c r="D95" s="146"/>
      <c r="E95" s="146"/>
      <c r="F95" s="19" t="s">
        <v>79</v>
      </c>
      <c r="G95" s="205" t="s">
        <v>391</v>
      </c>
      <c r="H95" s="140" t="s">
        <v>652</v>
      </c>
      <c r="J95" s="176" t="b">
        <f>EXACT(G95,'Vh5205_C-99'!G95)</f>
        <v>1</v>
      </c>
    </row>
    <row r="96" spans="1:10" s="7" customFormat="1" x14ac:dyDescent="0.35">
      <c r="A96" s="90">
        <v>93</v>
      </c>
      <c r="B96" s="146" t="s">
        <v>698</v>
      </c>
      <c r="C96" s="146" t="s">
        <v>386</v>
      </c>
      <c r="D96" s="146"/>
      <c r="E96" s="146"/>
      <c r="F96" s="19" t="s">
        <v>26</v>
      </c>
      <c r="G96" s="198" t="s">
        <v>387</v>
      </c>
      <c r="H96" s="140" t="s">
        <v>652</v>
      </c>
      <c r="J96" s="176" t="b">
        <f>EXACT(G96,'Vh5205_C-99'!G96)</f>
        <v>1</v>
      </c>
    </row>
    <row r="97" spans="1:10" s="7" customFormat="1" x14ac:dyDescent="0.35">
      <c r="A97" s="90">
        <v>94</v>
      </c>
      <c r="B97" s="146" t="s">
        <v>698</v>
      </c>
      <c r="C97" s="146" t="s">
        <v>105</v>
      </c>
      <c r="D97" s="146"/>
      <c r="E97" s="146"/>
      <c r="F97" s="19" t="s">
        <v>26</v>
      </c>
      <c r="G97" s="161" t="s">
        <v>656</v>
      </c>
      <c r="H97" s="140" t="s">
        <v>652</v>
      </c>
      <c r="J97" s="176" t="b">
        <f>EXACT(G97,'Vh5205_C-99'!G97)</f>
        <v>1</v>
      </c>
    </row>
    <row r="98" spans="1:10" s="7" customFormat="1" x14ac:dyDescent="0.35">
      <c r="A98" s="90">
        <v>95</v>
      </c>
      <c r="B98" s="87" t="s">
        <v>698</v>
      </c>
      <c r="C98" s="87" t="s">
        <v>160</v>
      </c>
      <c r="D98" s="87"/>
      <c r="E98" s="87"/>
      <c r="F98" s="22" t="s">
        <v>79</v>
      </c>
      <c r="G98" s="194" t="s">
        <v>196</v>
      </c>
      <c r="H98" s="182" t="s">
        <v>652</v>
      </c>
      <c r="J98" s="176" t="b">
        <f>EXACT(G98,'Vh5205_C-99'!G98)</f>
        <v>1</v>
      </c>
    </row>
    <row r="99" spans="1:10" x14ac:dyDescent="0.35">
      <c r="A99" s="90">
        <v>96</v>
      </c>
      <c r="B99" s="10" t="s">
        <v>699</v>
      </c>
      <c r="C99" s="10" t="s">
        <v>428</v>
      </c>
      <c r="D99" s="146"/>
      <c r="E99" s="146"/>
      <c r="F99" s="20" t="s">
        <v>26</v>
      </c>
      <c r="G99" s="206" t="s">
        <v>196</v>
      </c>
      <c r="H99" s="140" t="s">
        <v>652</v>
      </c>
      <c r="J99" s="176" t="b">
        <f>EXACT(G99,'Vh5205_C-99'!G99)</f>
        <v>1</v>
      </c>
    </row>
    <row r="100" spans="1:10" x14ac:dyDescent="0.35">
      <c r="A100" s="90">
        <v>97</v>
      </c>
      <c r="B100" s="104" t="s">
        <v>699</v>
      </c>
      <c r="C100" s="104" t="s">
        <v>161</v>
      </c>
      <c r="D100" s="104"/>
      <c r="E100" s="104"/>
      <c r="F100" s="20" t="s">
        <v>79</v>
      </c>
      <c r="G100" s="192"/>
      <c r="H100" s="140"/>
      <c r="J100" s="1" t="b">
        <f>EXACT(G100,'Vh5205_C-99'!G100)</f>
        <v>1</v>
      </c>
    </row>
    <row r="101" spans="1:10" x14ac:dyDescent="0.35">
      <c r="A101" s="90">
        <v>98</v>
      </c>
      <c r="B101" s="104" t="s">
        <v>699</v>
      </c>
      <c r="C101" s="104" t="s">
        <v>272</v>
      </c>
      <c r="D101" s="104"/>
      <c r="E101" s="104"/>
      <c r="F101" s="20" t="s">
        <v>26</v>
      </c>
      <c r="G101" s="207">
        <v>44778</v>
      </c>
      <c r="H101" s="140" t="s">
        <v>652</v>
      </c>
      <c r="J101" s="176" t="b">
        <f>EXACT(G101,'Vh5205_C-99'!G101)</f>
        <v>1</v>
      </c>
    </row>
    <row r="102" spans="1:10" x14ac:dyDescent="0.35">
      <c r="A102" s="90">
        <v>99</v>
      </c>
      <c r="B102" s="104" t="s">
        <v>699</v>
      </c>
      <c r="C102" s="104" t="s">
        <v>271</v>
      </c>
      <c r="D102" s="104"/>
      <c r="E102" s="104"/>
      <c r="F102" s="20" t="s">
        <v>26</v>
      </c>
      <c r="G102" s="161" t="s">
        <v>503</v>
      </c>
      <c r="H102" s="140" t="s">
        <v>652</v>
      </c>
      <c r="J102" s="176" t="b">
        <f>EXACT(G102,'Vh5205_C-99'!G102)</f>
        <v>1</v>
      </c>
    </row>
    <row r="103" spans="1:10" x14ac:dyDescent="0.35">
      <c r="A103" s="90">
        <v>100</v>
      </c>
      <c r="B103" s="10" t="s">
        <v>699</v>
      </c>
      <c r="C103" s="10" t="s">
        <v>120</v>
      </c>
      <c r="D103" s="146"/>
      <c r="E103" s="146"/>
      <c r="F103" s="20" t="s">
        <v>26</v>
      </c>
      <c r="G103" s="192" t="s">
        <v>270</v>
      </c>
      <c r="H103" s="140" t="s">
        <v>652</v>
      </c>
      <c r="J103" s="176" t="b">
        <f>EXACT(G103,'Vh5205_C-99'!G103)</f>
        <v>1</v>
      </c>
    </row>
    <row r="104" spans="1:10" x14ac:dyDescent="0.35">
      <c r="A104" s="90">
        <v>101</v>
      </c>
      <c r="B104" s="10" t="s">
        <v>699</v>
      </c>
      <c r="C104" s="10" t="s">
        <v>119</v>
      </c>
      <c r="D104" s="146"/>
      <c r="E104" s="146"/>
      <c r="F104" s="20" t="s">
        <v>26</v>
      </c>
      <c r="G104" s="161">
        <v>1</v>
      </c>
      <c r="H104" s="140" t="s">
        <v>652</v>
      </c>
      <c r="J104" s="176" t="b">
        <f>EXACT(G104,'Vh5205_C-99'!G104)</f>
        <v>1</v>
      </c>
    </row>
    <row r="105" spans="1:10" x14ac:dyDescent="0.35">
      <c r="A105" s="90">
        <v>102</v>
      </c>
      <c r="B105" s="10" t="s">
        <v>699</v>
      </c>
      <c r="C105" s="10" t="s">
        <v>121</v>
      </c>
      <c r="D105" s="146"/>
      <c r="E105" s="146" t="s">
        <v>0</v>
      </c>
      <c r="F105" s="20" t="s">
        <v>26</v>
      </c>
      <c r="G105" s="161" t="s">
        <v>487</v>
      </c>
      <c r="H105" s="140" t="s">
        <v>652</v>
      </c>
      <c r="J105" s="176" t="b">
        <f>EXACT(G105,'Vh5205_C-99'!G105)</f>
        <v>1</v>
      </c>
    </row>
    <row r="106" spans="1:10" x14ac:dyDescent="0.35">
      <c r="A106" s="90">
        <v>103</v>
      </c>
      <c r="B106" s="13" t="s">
        <v>699</v>
      </c>
      <c r="C106" s="13" t="s">
        <v>430</v>
      </c>
      <c r="D106" s="87"/>
      <c r="E106" s="87"/>
      <c r="F106" s="22" t="s">
        <v>26</v>
      </c>
      <c r="G106" s="194" t="s">
        <v>196</v>
      </c>
      <c r="H106" s="182" t="s">
        <v>652</v>
      </c>
      <c r="J106" s="176" t="b">
        <f>EXACT(G106,'Vh5205_C-99'!G106)</f>
        <v>1</v>
      </c>
    </row>
    <row r="107" spans="1:10" x14ac:dyDescent="0.35">
      <c r="A107" s="90">
        <v>104</v>
      </c>
      <c r="B107" s="10" t="s">
        <v>700</v>
      </c>
      <c r="C107" s="10" t="s">
        <v>458</v>
      </c>
      <c r="D107" s="146"/>
      <c r="E107" s="146"/>
      <c r="F107" s="20" t="s">
        <v>26</v>
      </c>
      <c r="G107" s="197" t="s">
        <v>196</v>
      </c>
      <c r="H107" s="140" t="s">
        <v>652</v>
      </c>
      <c r="J107" s="176" t="b">
        <f>EXACT(G107,'Vh5205_C-99'!G107)</f>
        <v>1</v>
      </c>
    </row>
    <row r="108" spans="1:10" ht="31" x14ac:dyDescent="0.35">
      <c r="A108" s="90">
        <v>105</v>
      </c>
      <c r="B108" s="104" t="s">
        <v>700</v>
      </c>
      <c r="C108" s="104" t="s">
        <v>459</v>
      </c>
      <c r="D108" s="104"/>
      <c r="E108" s="104"/>
      <c r="F108" s="20" t="s">
        <v>26</v>
      </c>
      <c r="G108" s="161" t="s">
        <v>609</v>
      </c>
      <c r="H108" s="140" t="s">
        <v>652</v>
      </c>
      <c r="J108" s="176" t="b">
        <f>EXACT(G108,'Vh5205_C-99'!G108)</f>
        <v>1</v>
      </c>
    </row>
    <row r="109" spans="1:10" x14ac:dyDescent="0.35">
      <c r="A109" s="90">
        <v>106</v>
      </c>
      <c r="B109" s="104" t="s">
        <v>700</v>
      </c>
      <c r="C109" s="104" t="s">
        <v>161</v>
      </c>
      <c r="D109" s="104"/>
      <c r="E109" s="104"/>
      <c r="F109" s="20" t="s">
        <v>79</v>
      </c>
      <c r="G109" s="161" t="s">
        <v>539</v>
      </c>
      <c r="H109" s="140" t="s">
        <v>652</v>
      </c>
      <c r="J109" s="176" t="b">
        <f>EXACT(G109,'Vh5205_C-99'!G109)</f>
        <v>1</v>
      </c>
    </row>
    <row r="110" spans="1:10" x14ac:dyDescent="0.35">
      <c r="A110" s="90">
        <v>107</v>
      </c>
      <c r="B110" s="104" t="s">
        <v>700</v>
      </c>
      <c r="C110" s="104" t="s">
        <v>272</v>
      </c>
      <c r="D110" s="104"/>
      <c r="E110" s="104"/>
      <c r="F110" s="20" t="s">
        <v>26</v>
      </c>
      <c r="G110" s="207">
        <v>45098</v>
      </c>
      <c r="H110" s="140" t="s">
        <v>652</v>
      </c>
      <c r="J110" s="176" t="b">
        <f>EXACT(G110,'Vh5205_C-99'!G110)</f>
        <v>1</v>
      </c>
    </row>
    <row r="111" spans="1:10" x14ac:dyDescent="0.35">
      <c r="A111" s="90">
        <v>108</v>
      </c>
      <c r="B111" s="104" t="s">
        <v>700</v>
      </c>
      <c r="C111" s="104" t="s">
        <v>271</v>
      </c>
      <c r="D111" s="104"/>
      <c r="E111" s="104"/>
      <c r="F111" s="20" t="s">
        <v>26</v>
      </c>
      <c r="G111" s="192" t="s">
        <v>504</v>
      </c>
      <c r="H111" s="140" t="s">
        <v>652</v>
      </c>
      <c r="J111" s="176" t="b">
        <f>EXACT(G111,'Vh5205_C-99'!G111)</f>
        <v>1</v>
      </c>
    </row>
    <row r="112" spans="1:10" x14ac:dyDescent="0.35">
      <c r="A112" s="90">
        <v>109</v>
      </c>
      <c r="B112" s="10" t="s">
        <v>700</v>
      </c>
      <c r="C112" s="10" t="s">
        <v>120</v>
      </c>
      <c r="D112" s="146"/>
      <c r="E112" s="146"/>
      <c r="F112" s="20" t="s">
        <v>26</v>
      </c>
      <c r="G112" s="192" t="s">
        <v>524</v>
      </c>
      <c r="H112" s="140" t="s">
        <v>652</v>
      </c>
      <c r="J112" s="176" t="b">
        <f>EXACT(G112,'Vh5205_C-99'!G112)</f>
        <v>1</v>
      </c>
    </row>
    <row r="113" spans="1:10" x14ac:dyDescent="0.35">
      <c r="A113" s="90">
        <v>110</v>
      </c>
      <c r="B113" s="10" t="s">
        <v>700</v>
      </c>
      <c r="C113" s="10" t="s">
        <v>119</v>
      </c>
      <c r="D113" s="146"/>
      <c r="E113" s="146"/>
      <c r="F113" s="20" t="s">
        <v>26</v>
      </c>
      <c r="G113" s="192" t="s">
        <v>524</v>
      </c>
      <c r="H113" s="140" t="s">
        <v>652</v>
      </c>
      <c r="J113" s="176" t="b">
        <f>EXACT(G113,'Vh5205_C-99'!G113)</f>
        <v>1</v>
      </c>
    </row>
    <row r="114" spans="1:10" x14ac:dyDescent="0.35">
      <c r="A114" s="90">
        <v>111</v>
      </c>
      <c r="B114" s="13" t="s">
        <v>700</v>
      </c>
      <c r="C114" s="13" t="s">
        <v>121</v>
      </c>
      <c r="D114" s="87"/>
      <c r="E114" s="87" t="s">
        <v>0</v>
      </c>
      <c r="F114" s="21" t="s">
        <v>26</v>
      </c>
      <c r="G114" s="194" t="s">
        <v>505</v>
      </c>
      <c r="H114" s="182" t="s">
        <v>652</v>
      </c>
      <c r="J114" s="176" t="b">
        <f>EXACT(G114,'Vh5205_C-99'!G114)</f>
        <v>1</v>
      </c>
    </row>
    <row r="115" spans="1:10" x14ac:dyDescent="0.35">
      <c r="A115" s="90">
        <v>112</v>
      </c>
      <c r="B115" s="102" t="s">
        <v>701</v>
      </c>
      <c r="C115" s="102" t="s">
        <v>308</v>
      </c>
      <c r="D115" s="146"/>
      <c r="E115" s="146"/>
      <c r="F115" s="39" t="s">
        <v>26</v>
      </c>
      <c r="G115" s="197" t="s">
        <v>347</v>
      </c>
      <c r="H115" s="140" t="s">
        <v>652</v>
      </c>
      <c r="J115" s="176" t="b">
        <f>EXACT(G115,'Vh5205_C-99'!G115)</f>
        <v>1</v>
      </c>
    </row>
    <row r="116" spans="1:10" s="7" customFormat="1" x14ac:dyDescent="0.35">
      <c r="A116" s="90">
        <v>113</v>
      </c>
      <c r="B116" s="13" t="s">
        <v>701</v>
      </c>
      <c r="C116" s="13" t="s">
        <v>163</v>
      </c>
      <c r="D116" s="87"/>
      <c r="E116" s="87"/>
      <c r="F116" s="22" t="s">
        <v>26</v>
      </c>
      <c r="G116" s="194" t="s">
        <v>196</v>
      </c>
      <c r="H116" s="182" t="s">
        <v>652</v>
      </c>
      <c r="J116" s="176" t="b">
        <f>EXACT(G116,'Vh5205_C-99'!G116)</f>
        <v>1</v>
      </c>
    </row>
    <row r="117" spans="1:10" s="7" customFormat="1" x14ac:dyDescent="0.35">
      <c r="A117" s="90">
        <v>114</v>
      </c>
      <c r="B117" s="102" t="s">
        <v>702</v>
      </c>
      <c r="C117" s="102" t="s">
        <v>164</v>
      </c>
      <c r="D117" s="100"/>
      <c r="E117" s="100"/>
      <c r="F117" s="18" t="s">
        <v>26</v>
      </c>
      <c r="G117" s="206" t="s">
        <v>196</v>
      </c>
      <c r="H117" s="140" t="s">
        <v>652</v>
      </c>
      <c r="J117" s="176" t="b">
        <f>EXACT(G117,'Vh5205_C-99'!G117)</f>
        <v>1</v>
      </c>
    </row>
    <row r="118" spans="1:10" s="7" customFormat="1" x14ac:dyDescent="0.35">
      <c r="A118" s="90">
        <v>115</v>
      </c>
      <c r="B118" s="13" t="s">
        <v>702</v>
      </c>
      <c r="C118" s="13" t="s">
        <v>191</v>
      </c>
      <c r="D118" s="87"/>
      <c r="E118" s="87"/>
      <c r="F118" s="22" t="s">
        <v>79</v>
      </c>
      <c r="G118" s="194" t="s">
        <v>196</v>
      </c>
      <c r="H118" s="182" t="s">
        <v>652</v>
      </c>
      <c r="J118" s="176" t="b">
        <f>EXACT(G118,'Vh5205_C-99'!G118)</f>
        <v>1</v>
      </c>
    </row>
    <row r="119" spans="1:10" s="7" customFormat="1" x14ac:dyDescent="0.35">
      <c r="A119" s="90">
        <v>116</v>
      </c>
      <c r="B119" s="146" t="s">
        <v>703</v>
      </c>
      <c r="C119" s="146" t="s">
        <v>106</v>
      </c>
      <c r="D119" s="146"/>
      <c r="E119" s="146"/>
      <c r="F119" s="19" t="s">
        <v>26</v>
      </c>
      <c r="G119" s="197" t="s">
        <v>488</v>
      </c>
      <c r="H119" s="140" t="s">
        <v>652</v>
      </c>
      <c r="J119" s="176" t="b">
        <f>EXACT(G119,'Vh5205_C-99'!G119)</f>
        <v>1</v>
      </c>
    </row>
    <row r="120" spans="1:10" x14ac:dyDescent="0.35">
      <c r="A120" s="90">
        <v>117</v>
      </c>
      <c r="B120" s="146" t="s">
        <v>703</v>
      </c>
      <c r="C120" s="146" t="s">
        <v>434</v>
      </c>
      <c r="D120" s="5"/>
      <c r="E120" s="5"/>
      <c r="F120" s="19" t="s">
        <v>26</v>
      </c>
      <c r="G120" s="161" t="s">
        <v>506</v>
      </c>
      <c r="H120" s="140" t="s">
        <v>652</v>
      </c>
      <c r="J120" s="176" t="b">
        <f>EXACT(G120,'Vh5205_C-99'!G120)</f>
        <v>1</v>
      </c>
    </row>
    <row r="121" spans="1:10" ht="31" x14ac:dyDescent="0.35">
      <c r="A121" s="90">
        <v>118</v>
      </c>
      <c r="B121" s="87" t="s">
        <v>703</v>
      </c>
      <c r="C121" s="87" t="s">
        <v>350</v>
      </c>
      <c r="D121" s="93"/>
      <c r="E121" s="93"/>
      <c r="F121" s="22" t="s">
        <v>26</v>
      </c>
      <c r="G121" s="194" t="s">
        <v>196</v>
      </c>
      <c r="H121" s="182" t="s">
        <v>652</v>
      </c>
      <c r="J121" s="176" t="b">
        <f>EXACT(G121,'Vh5205_C-99'!G121)</f>
        <v>1</v>
      </c>
    </row>
    <row r="122" spans="1:10" x14ac:dyDescent="0.35">
      <c r="A122" s="90">
        <v>119</v>
      </c>
      <c r="B122" s="5" t="s">
        <v>704</v>
      </c>
      <c r="C122" s="5" t="s">
        <v>135</v>
      </c>
      <c r="D122" s="5"/>
      <c r="E122" s="5"/>
      <c r="F122" s="19" t="s">
        <v>26</v>
      </c>
      <c r="G122" s="206" t="s">
        <v>269</v>
      </c>
      <c r="H122" s="140" t="s">
        <v>652</v>
      </c>
      <c r="J122" s="176" t="b">
        <f>EXACT(G122,'Vh5205_C-99'!G122)</f>
        <v>1</v>
      </c>
    </row>
    <row r="123" spans="1:10" s="7" customFormat="1" ht="46.5" x14ac:dyDescent="0.35">
      <c r="A123" s="90">
        <v>120</v>
      </c>
      <c r="B123" s="146" t="s">
        <v>704</v>
      </c>
      <c r="C123" s="146" t="s">
        <v>316</v>
      </c>
      <c r="D123" s="146"/>
      <c r="E123" s="146"/>
      <c r="F123" s="19" t="s">
        <v>79</v>
      </c>
      <c r="G123" s="161" t="s">
        <v>528</v>
      </c>
      <c r="H123" s="177"/>
      <c r="J123" s="1" t="b">
        <f>EXACT(G123,'Vh5205_C-99'!G123)</f>
        <v>1</v>
      </c>
    </row>
    <row r="124" spans="1:10" x14ac:dyDescent="0.35">
      <c r="A124" s="90">
        <v>121</v>
      </c>
      <c r="B124" s="5" t="s">
        <v>704</v>
      </c>
      <c r="C124" s="5" t="s">
        <v>354</v>
      </c>
      <c r="D124" s="5"/>
      <c r="E124" s="5"/>
      <c r="F124" s="19" t="s">
        <v>26</v>
      </c>
      <c r="G124" s="161" t="s">
        <v>205</v>
      </c>
      <c r="H124" s="164" t="s">
        <v>652</v>
      </c>
      <c r="J124" s="176" t="b">
        <f>EXACT(G124,'Vh5205_C-99'!G124)</f>
        <v>1</v>
      </c>
    </row>
    <row r="125" spans="1:10" x14ac:dyDescent="0.35">
      <c r="A125" s="90">
        <v>122</v>
      </c>
      <c r="B125" s="5" t="s">
        <v>704</v>
      </c>
      <c r="C125" s="5" t="s">
        <v>139</v>
      </c>
      <c r="D125" s="5"/>
      <c r="E125" s="5" t="s">
        <v>2</v>
      </c>
      <c r="F125" s="19" t="s">
        <v>79</v>
      </c>
      <c r="G125" s="192" t="s">
        <v>489</v>
      </c>
      <c r="H125" s="164" t="s">
        <v>652</v>
      </c>
      <c r="J125" s="176" t="b">
        <f>EXACT(G125,'Vh5205_C-99'!G125)</f>
        <v>1</v>
      </c>
    </row>
    <row r="126" spans="1:10" x14ac:dyDescent="0.35">
      <c r="A126" s="90">
        <v>123</v>
      </c>
      <c r="B126" s="5" t="s">
        <v>704</v>
      </c>
      <c r="C126" s="5" t="s">
        <v>140</v>
      </c>
      <c r="D126" s="5"/>
      <c r="E126" s="5"/>
      <c r="F126" s="19" t="s">
        <v>79</v>
      </c>
      <c r="G126" s="192" t="s">
        <v>538</v>
      </c>
      <c r="H126" s="164" t="s">
        <v>652</v>
      </c>
      <c r="J126" s="176" t="b">
        <f>EXACT(G126,'Vh5205_C-99'!G126)</f>
        <v>1</v>
      </c>
    </row>
    <row r="127" spans="1:10" s="7" customFormat="1" x14ac:dyDescent="0.35">
      <c r="A127" s="90">
        <v>124</v>
      </c>
      <c r="B127" s="10" t="s">
        <v>704</v>
      </c>
      <c r="C127" s="10" t="s">
        <v>122</v>
      </c>
      <c r="D127" s="146"/>
      <c r="E127" s="146"/>
      <c r="F127" s="20" t="s">
        <v>26</v>
      </c>
      <c r="G127" s="161" t="s">
        <v>196</v>
      </c>
      <c r="H127" s="164" t="s">
        <v>652</v>
      </c>
      <c r="J127" s="176" t="b">
        <f>EXACT(G127,'Vh5205_C-99'!G127)</f>
        <v>1</v>
      </c>
    </row>
    <row r="128" spans="1:10" x14ac:dyDescent="0.35">
      <c r="A128" s="90">
        <v>125</v>
      </c>
      <c r="B128" s="5" t="s">
        <v>704</v>
      </c>
      <c r="C128" s="5" t="s">
        <v>137</v>
      </c>
      <c r="D128" s="5"/>
      <c r="E128" s="5"/>
      <c r="F128" s="19" t="s">
        <v>26</v>
      </c>
      <c r="G128" s="192" t="s">
        <v>359</v>
      </c>
      <c r="H128" s="164" t="s">
        <v>652</v>
      </c>
      <c r="J128" s="176" t="b">
        <f>EXACT(G128,'Vh5205_C-99'!G128)</f>
        <v>1</v>
      </c>
    </row>
    <row r="129" spans="1:10" s="7" customFormat="1" x14ac:dyDescent="0.35">
      <c r="A129" s="90">
        <v>126</v>
      </c>
      <c r="B129" s="146" t="s">
        <v>704</v>
      </c>
      <c r="C129" s="146" t="s">
        <v>120</v>
      </c>
      <c r="D129" s="146"/>
      <c r="E129" s="146"/>
      <c r="F129" s="20" t="s">
        <v>26</v>
      </c>
      <c r="G129" s="161" t="s">
        <v>490</v>
      </c>
      <c r="H129" s="164" t="s">
        <v>652</v>
      </c>
      <c r="J129" s="176" t="b">
        <f>EXACT(G129,'Vh5205_C-99'!G129)</f>
        <v>1</v>
      </c>
    </row>
    <row r="130" spans="1:10" s="7" customFormat="1" x14ac:dyDescent="0.35">
      <c r="A130" s="90">
        <v>127</v>
      </c>
      <c r="B130" s="104" t="s">
        <v>704</v>
      </c>
      <c r="C130" s="104" t="s">
        <v>161</v>
      </c>
      <c r="D130" s="146"/>
      <c r="E130" s="146"/>
      <c r="F130" s="20" t="s">
        <v>79</v>
      </c>
      <c r="G130" s="161" t="s">
        <v>539</v>
      </c>
      <c r="H130" s="164" t="s">
        <v>652</v>
      </c>
      <c r="J130" s="176" t="b">
        <f>EXACT(G130,'Vh5205_C-99'!G130)</f>
        <v>1</v>
      </c>
    </row>
    <row r="131" spans="1:10" s="7" customFormat="1" x14ac:dyDescent="0.35">
      <c r="A131" s="90">
        <v>128</v>
      </c>
      <c r="B131" s="104" t="s">
        <v>704</v>
      </c>
      <c r="C131" s="104" t="s">
        <v>358</v>
      </c>
      <c r="D131" s="146"/>
      <c r="E131" s="146"/>
      <c r="F131" s="20" t="s">
        <v>26</v>
      </c>
      <c r="G131" s="195">
        <v>44781</v>
      </c>
      <c r="H131" s="177"/>
      <c r="J131" s="1" t="b">
        <f>EXACT(G131,'Vh5205_C-99'!G131)</f>
        <v>1</v>
      </c>
    </row>
    <row r="132" spans="1:10" s="7" customFormat="1" x14ac:dyDescent="0.35">
      <c r="A132" s="90">
        <v>129</v>
      </c>
      <c r="B132" s="104" t="s">
        <v>704</v>
      </c>
      <c r="C132" s="104" t="s">
        <v>271</v>
      </c>
      <c r="D132" s="146"/>
      <c r="E132" s="146"/>
      <c r="F132" s="20" t="s">
        <v>26</v>
      </c>
      <c r="G132" s="161" t="s">
        <v>504</v>
      </c>
      <c r="H132" s="177" t="s">
        <v>652</v>
      </c>
      <c r="J132" s="176" t="b">
        <f>EXACT(G132,'Vh5205_C-99'!G132)</f>
        <v>1</v>
      </c>
    </row>
    <row r="133" spans="1:10" ht="46.5" x14ac:dyDescent="0.35">
      <c r="A133" s="90">
        <v>130</v>
      </c>
      <c r="B133" s="91" t="s">
        <v>704</v>
      </c>
      <c r="C133" s="91" t="s">
        <v>315</v>
      </c>
      <c r="D133" s="5"/>
      <c r="E133" s="5" t="s">
        <v>85</v>
      </c>
      <c r="F133" s="19" t="s">
        <v>79</v>
      </c>
      <c r="G133" s="198" t="s">
        <v>525</v>
      </c>
      <c r="H133" s="177" t="s">
        <v>652</v>
      </c>
      <c r="J133" s="176" t="b">
        <f>EXACT(G133,'Vh5205_C-99'!G133)</f>
        <v>1</v>
      </c>
    </row>
    <row r="134" spans="1:10" s="7" customFormat="1" x14ac:dyDescent="0.35">
      <c r="A134" s="90">
        <v>131</v>
      </c>
      <c r="B134" s="146" t="s">
        <v>704</v>
      </c>
      <c r="C134" s="146" t="s">
        <v>121</v>
      </c>
      <c r="D134" s="146"/>
      <c r="E134" s="146" t="s">
        <v>85</v>
      </c>
      <c r="F134" s="20" t="s">
        <v>26</v>
      </c>
      <c r="G134" s="161" t="s">
        <v>491</v>
      </c>
      <c r="H134" s="177" t="s">
        <v>652</v>
      </c>
      <c r="J134" s="176" t="b">
        <f>EXACT(G134,'Vh5205_C-99'!G134)</f>
        <v>1</v>
      </c>
    </row>
    <row r="135" spans="1:10" x14ac:dyDescent="0.35">
      <c r="A135" s="90">
        <v>132</v>
      </c>
      <c r="B135" s="5" t="s">
        <v>704</v>
      </c>
      <c r="C135" s="5" t="s">
        <v>165</v>
      </c>
      <c r="D135" s="5"/>
      <c r="E135" s="5"/>
      <c r="F135" s="19" t="s">
        <v>26</v>
      </c>
      <c r="G135" s="192" t="s">
        <v>540</v>
      </c>
      <c r="H135" s="177" t="s">
        <v>652</v>
      </c>
      <c r="J135" s="176" t="b">
        <f>EXACT(G135,'Vh5205_C-99'!G135)</f>
        <v>1</v>
      </c>
    </row>
    <row r="136" spans="1:10" x14ac:dyDescent="0.35">
      <c r="A136" s="90">
        <v>133</v>
      </c>
      <c r="B136" s="5" t="s">
        <v>704</v>
      </c>
      <c r="C136" s="5" t="s">
        <v>166</v>
      </c>
      <c r="D136" s="5"/>
      <c r="E136" s="5"/>
      <c r="F136" s="19" t="s">
        <v>26</v>
      </c>
      <c r="G136" s="161">
        <v>3</v>
      </c>
      <c r="H136" s="177" t="s">
        <v>652</v>
      </c>
      <c r="J136" s="176" t="b">
        <f>EXACT(G136,'Vh5205_C-99'!G136)</f>
        <v>1</v>
      </c>
    </row>
    <row r="137" spans="1:10" x14ac:dyDescent="0.35">
      <c r="A137" s="90">
        <v>134</v>
      </c>
      <c r="B137" s="5" t="s">
        <v>704</v>
      </c>
      <c r="C137" s="5" t="s">
        <v>141</v>
      </c>
      <c r="D137" s="5"/>
      <c r="E137" s="5"/>
      <c r="F137" s="19" t="s">
        <v>26</v>
      </c>
      <c r="G137" s="161" t="s">
        <v>522</v>
      </c>
      <c r="H137" s="177" t="s">
        <v>652</v>
      </c>
      <c r="J137" s="176" t="b">
        <f>EXACT(G137,'Vh5205_C-99'!G137)</f>
        <v>1</v>
      </c>
    </row>
    <row r="138" spans="1:10" s="7" customFormat="1" x14ac:dyDescent="0.35">
      <c r="A138" s="90"/>
      <c r="B138" s="114" t="s">
        <v>704</v>
      </c>
      <c r="C138" s="114"/>
      <c r="D138" s="87"/>
      <c r="E138" s="87"/>
      <c r="F138" s="21"/>
      <c r="G138" s="196"/>
      <c r="H138" s="180"/>
      <c r="J138" s="1" t="b">
        <f>EXACT(G138,'Vh5205_C-99'!G138)</f>
        <v>1</v>
      </c>
    </row>
    <row r="139" spans="1:10" s="7" customFormat="1" x14ac:dyDescent="0.35">
      <c r="A139" s="90">
        <v>135</v>
      </c>
      <c r="B139" s="10" t="s">
        <v>705</v>
      </c>
      <c r="C139" s="10" t="s">
        <v>142</v>
      </c>
      <c r="D139" s="146"/>
      <c r="E139" s="146"/>
      <c r="F139" s="20" t="s">
        <v>26</v>
      </c>
      <c r="G139" s="192" t="s">
        <v>196</v>
      </c>
      <c r="H139" s="177" t="s">
        <v>652</v>
      </c>
      <c r="J139" s="176" t="b">
        <f>EXACT(G139,'Vh5205_C-99'!G139)</f>
        <v>1</v>
      </c>
    </row>
    <row r="140" spans="1:10" x14ac:dyDescent="0.35">
      <c r="A140" s="90">
        <v>136</v>
      </c>
      <c r="B140" s="5" t="s">
        <v>705</v>
      </c>
      <c r="C140" s="5" t="s">
        <v>138</v>
      </c>
      <c r="D140" s="5"/>
      <c r="E140" s="5"/>
      <c r="F140" s="19" t="s">
        <v>79</v>
      </c>
      <c r="G140" s="161" t="s">
        <v>526</v>
      </c>
      <c r="H140" s="177" t="s">
        <v>652</v>
      </c>
      <c r="J140" s="176" t="b">
        <f>EXACT(G140,'Vh5205_C-99'!G140)</f>
        <v>1</v>
      </c>
    </row>
    <row r="141" spans="1:10" x14ac:dyDescent="0.35">
      <c r="A141" s="90">
        <v>137</v>
      </c>
      <c r="B141" s="104" t="s">
        <v>705</v>
      </c>
      <c r="C141" s="104" t="s">
        <v>161</v>
      </c>
      <c r="D141" s="104"/>
      <c r="E141" s="104"/>
      <c r="F141" s="19" t="s">
        <v>79</v>
      </c>
      <c r="G141" s="161" t="s">
        <v>539</v>
      </c>
      <c r="H141" s="177" t="s">
        <v>652</v>
      </c>
      <c r="J141" s="176" t="b">
        <f>EXACT(G141,'Vh5205_C-99'!G141)</f>
        <v>1</v>
      </c>
    </row>
    <row r="142" spans="1:10" x14ac:dyDescent="0.35">
      <c r="A142" s="90">
        <v>138</v>
      </c>
      <c r="B142" s="104" t="s">
        <v>705</v>
      </c>
      <c r="C142" s="104" t="s">
        <v>358</v>
      </c>
      <c r="D142" s="104"/>
      <c r="E142" s="104"/>
      <c r="F142" s="20" t="s">
        <v>26</v>
      </c>
      <c r="G142" s="195">
        <v>44754</v>
      </c>
      <c r="H142" s="140"/>
      <c r="J142" s="1" t="b">
        <f>EXACT(G142,'Vh5205_C-99'!G142)</f>
        <v>1</v>
      </c>
    </row>
    <row r="143" spans="1:10" x14ac:dyDescent="0.35">
      <c r="A143" s="90">
        <v>139</v>
      </c>
      <c r="B143" s="104" t="s">
        <v>705</v>
      </c>
      <c r="C143" s="104" t="s">
        <v>271</v>
      </c>
      <c r="D143" s="104"/>
      <c r="E143" s="104"/>
      <c r="F143" s="20" t="s">
        <v>26</v>
      </c>
      <c r="G143" s="161" t="s">
        <v>492</v>
      </c>
      <c r="H143" s="177" t="s">
        <v>652</v>
      </c>
      <c r="J143" s="176" t="b">
        <f>EXACT(G143,'Vh5205_C-99'!G143)</f>
        <v>1</v>
      </c>
    </row>
    <row r="144" spans="1:10" x14ac:dyDescent="0.35">
      <c r="A144" s="90">
        <v>140</v>
      </c>
      <c r="B144" s="5" t="s">
        <v>705</v>
      </c>
      <c r="C144" s="5" t="s">
        <v>137</v>
      </c>
      <c r="D144" s="5"/>
      <c r="E144" s="5"/>
      <c r="F144" s="19" t="s">
        <v>26</v>
      </c>
      <c r="G144" s="161" t="s">
        <v>493</v>
      </c>
      <c r="H144" s="177" t="s">
        <v>652</v>
      </c>
      <c r="J144" s="176" t="b">
        <f>EXACT(G144,'Vh5205_C-99'!G144)</f>
        <v>1</v>
      </c>
    </row>
    <row r="145" spans="1:10" x14ac:dyDescent="0.35">
      <c r="A145" s="90">
        <v>141</v>
      </c>
      <c r="B145" s="146" t="s">
        <v>705</v>
      </c>
      <c r="C145" s="146" t="s">
        <v>120</v>
      </c>
      <c r="D145" s="146"/>
      <c r="E145" s="146"/>
      <c r="F145" s="19" t="s">
        <v>26</v>
      </c>
      <c r="G145" s="161" t="s">
        <v>273</v>
      </c>
      <c r="H145" s="177" t="s">
        <v>652</v>
      </c>
      <c r="J145" s="176" t="b">
        <f>EXACT(G145,'Vh5205_C-99'!G145)</f>
        <v>1</v>
      </c>
    </row>
    <row r="146" spans="1:10" x14ac:dyDescent="0.35">
      <c r="A146" s="90">
        <v>142</v>
      </c>
      <c r="B146" s="91" t="s">
        <v>705</v>
      </c>
      <c r="C146" s="91" t="s">
        <v>315</v>
      </c>
      <c r="D146" s="5"/>
      <c r="E146" s="5" t="s">
        <v>85</v>
      </c>
      <c r="F146" s="19" t="s">
        <v>79</v>
      </c>
      <c r="G146" s="198" t="s">
        <v>532</v>
      </c>
      <c r="H146" s="140"/>
      <c r="J146" s="1" t="b">
        <f>EXACT(G146,'Vh5205_C-99'!G146)</f>
        <v>1</v>
      </c>
    </row>
    <row r="147" spans="1:10" x14ac:dyDescent="0.35">
      <c r="A147" s="90">
        <v>143</v>
      </c>
      <c r="B147" s="87" t="s">
        <v>705</v>
      </c>
      <c r="C147" s="87" t="s">
        <v>121</v>
      </c>
      <c r="D147" s="93"/>
      <c r="E147" s="87" t="s">
        <v>85</v>
      </c>
      <c r="F147" s="22" t="s">
        <v>26</v>
      </c>
      <c r="G147" s="196" t="s">
        <v>274</v>
      </c>
      <c r="H147" s="180" t="s">
        <v>652</v>
      </c>
      <c r="J147" s="176" t="b">
        <f>EXACT(G147,'Vh5205_C-99'!G147)</f>
        <v>1</v>
      </c>
    </row>
    <row r="148" spans="1:10" x14ac:dyDescent="0.35">
      <c r="A148" s="90">
        <v>144</v>
      </c>
      <c r="B148" s="111" t="s">
        <v>706</v>
      </c>
      <c r="C148" s="111" t="s">
        <v>287</v>
      </c>
      <c r="D148" s="111"/>
      <c r="E148" s="111"/>
      <c r="F148" s="18" t="s">
        <v>26</v>
      </c>
      <c r="G148" s="197" t="s">
        <v>281</v>
      </c>
      <c r="H148" s="177" t="s">
        <v>652</v>
      </c>
      <c r="J148" s="176" t="b">
        <f>EXACT(G148,'Vh5205_C-99'!G148)</f>
        <v>1</v>
      </c>
    </row>
    <row r="149" spans="1:10" x14ac:dyDescent="0.35">
      <c r="A149" s="90">
        <v>145</v>
      </c>
      <c r="B149" s="5" t="s">
        <v>706</v>
      </c>
      <c r="C149" s="5" t="s">
        <v>366</v>
      </c>
      <c r="D149" s="5"/>
      <c r="E149" s="5"/>
      <c r="F149" s="19" t="s">
        <v>26</v>
      </c>
      <c r="G149" s="161" t="s">
        <v>288</v>
      </c>
      <c r="H149" s="177" t="s">
        <v>652</v>
      </c>
      <c r="J149" s="176" t="b">
        <f>EXACT(G149,'Vh5205_C-99'!G149)</f>
        <v>1</v>
      </c>
    </row>
    <row r="150" spans="1:10" x14ac:dyDescent="0.35">
      <c r="A150" s="90">
        <v>146</v>
      </c>
      <c r="B150" s="93" t="s">
        <v>706</v>
      </c>
      <c r="C150" s="93" t="s">
        <v>367</v>
      </c>
      <c r="D150" s="93"/>
      <c r="E150" s="93"/>
      <c r="F150" s="22" t="s">
        <v>26</v>
      </c>
      <c r="G150" s="194" t="s">
        <v>524</v>
      </c>
      <c r="H150" s="180" t="s">
        <v>652</v>
      </c>
      <c r="J150" s="176" t="b">
        <f>EXACT(G150,'Vh5205_C-99'!G150)</f>
        <v>1</v>
      </c>
    </row>
    <row r="151" spans="1:10" s="7" customFormat="1" x14ac:dyDescent="0.35">
      <c r="A151" s="90">
        <v>147</v>
      </c>
      <c r="B151" s="100" t="s">
        <v>707</v>
      </c>
      <c r="C151" s="100" t="s">
        <v>169</v>
      </c>
      <c r="D151" s="146"/>
      <c r="E151" s="146"/>
      <c r="F151" s="19" t="s">
        <v>26</v>
      </c>
      <c r="G151" s="206" t="s">
        <v>541</v>
      </c>
      <c r="H151" s="177" t="s">
        <v>652</v>
      </c>
      <c r="J151" s="176" t="b">
        <f>EXACT(G151,'Vh5205_C-99'!G151)</f>
        <v>1</v>
      </c>
    </row>
    <row r="152" spans="1:10" s="7" customFormat="1" x14ac:dyDescent="0.35">
      <c r="A152" s="90">
        <v>148</v>
      </c>
      <c r="B152" s="146" t="s">
        <v>707</v>
      </c>
      <c r="C152" s="146" t="s">
        <v>192</v>
      </c>
      <c r="D152" s="146"/>
      <c r="E152" s="146"/>
      <c r="F152" s="19" t="s">
        <v>26</v>
      </c>
      <c r="G152" s="192" t="s">
        <v>542</v>
      </c>
      <c r="H152" s="177" t="s">
        <v>652</v>
      </c>
      <c r="J152" s="176" t="b">
        <f>EXACT(G152,'Vh5205_C-99'!G152)</f>
        <v>1</v>
      </c>
    </row>
    <row r="153" spans="1:10" s="7" customFormat="1" x14ac:dyDescent="0.35">
      <c r="A153" s="90">
        <v>149</v>
      </c>
      <c r="B153" s="146" t="s">
        <v>707</v>
      </c>
      <c r="C153" s="146" t="s">
        <v>170</v>
      </c>
      <c r="D153" s="146"/>
      <c r="E153" s="146"/>
      <c r="F153" s="19" t="s">
        <v>26</v>
      </c>
      <c r="G153" s="192" t="s">
        <v>275</v>
      </c>
      <c r="H153" s="177" t="s">
        <v>652</v>
      </c>
      <c r="J153" s="176" t="b">
        <f>EXACT(G153,'Vh5205_C-99'!G153)</f>
        <v>1</v>
      </c>
    </row>
    <row r="154" spans="1:10" s="7" customFormat="1" x14ac:dyDescent="0.35">
      <c r="A154" s="90">
        <v>150</v>
      </c>
      <c r="B154" s="146" t="s">
        <v>707</v>
      </c>
      <c r="C154" s="146" t="s">
        <v>280</v>
      </c>
      <c r="D154" s="146"/>
      <c r="E154" s="146"/>
      <c r="F154" s="19" t="s">
        <v>79</v>
      </c>
      <c r="G154" s="161" t="s">
        <v>494</v>
      </c>
      <c r="H154" s="177" t="s">
        <v>652</v>
      </c>
      <c r="J154" s="176" t="b">
        <f>EXACT(G154,'Vh5205_C-99'!G154)</f>
        <v>1</v>
      </c>
    </row>
    <row r="155" spans="1:10" s="7" customFormat="1" x14ac:dyDescent="0.35">
      <c r="A155" s="90">
        <v>151</v>
      </c>
      <c r="B155" s="146" t="s">
        <v>707</v>
      </c>
      <c r="C155" s="146" t="s">
        <v>44</v>
      </c>
      <c r="D155" s="146"/>
      <c r="E155" s="146"/>
      <c r="F155" s="19" t="s">
        <v>79</v>
      </c>
      <c r="G155" s="205" t="s">
        <v>495</v>
      </c>
      <c r="H155" s="177" t="s">
        <v>652</v>
      </c>
      <c r="J155" s="176" t="b">
        <f>EXACT(G155,'Vh5205_C-99'!G155)</f>
        <v>1</v>
      </c>
    </row>
    <row r="156" spans="1:10" s="7" customFormat="1" x14ac:dyDescent="0.35">
      <c r="A156" s="90">
        <v>152</v>
      </c>
      <c r="B156" s="10" t="s">
        <v>707</v>
      </c>
      <c r="C156" s="10" t="s">
        <v>289</v>
      </c>
      <c r="D156" s="146"/>
      <c r="E156" s="146"/>
      <c r="F156" s="20" t="s">
        <v>79</v>
      </c>
      <c r="G156" s="192" t="s">
        <v>524</v>
      </c>
      <c r="H156" s="177" t="s">
        <v>652</v>
      </c>
      <c r="J156" s="176" t="b">
        <f>EXACT(G156,'Vh5205_C-99'!G156)</f>
        <v>1</v>
      </c>
    </row>
    <row r="157" spans="1:10" s="7" customFormat="1" x14ac:dyDescent="0.35">
      <c r="A157" s="90">
        <v>153</v>
      </c>
      <c r="B157" s="146" t="s">
        <v>707</v>
      </c>
      <c r="C157" s="146" t="s">
        <v>279</v>
      </c>
      <c r="D157" s="146"/>
      <c r="E157" s="146"/>
      <c r="F157" s="19" t="s">
        <v>79</v>
      </c>
      <c r="G157" s="192" t="s">
        <v>385</v>
      </c>
      <c r="H157" s="177" t="s">
        <v>652</v>
      </c>
      <c r="J157" s="176" t="b">
        <f>EXACT(G157,'Vh5205_C-99'!G157)</f>
        <v>1</v>
      </c>
    </row>
    <row r="158" spans="1:10" s="7" customFormat="1" x14ac:dyDescent="0.35">
      <c r="A158" s="90">
        <v>154</v>
      </c>
      <c r="B158" s="10" t="s">
        <v>707</v>
      </c>
      <c r="C158" s="10" t="s">
        <v>31</v>
      </c>
      <c r="D158" s="146"/>
      <c r="E158" s="146" t="s">
        <v>194</v>
      </c>
      <c r="F158" s="19" t="s">
        <v>26</v>
      </c>
      <c r="G158" s="199" t="s">
        <v>496</v>
      </c>
      <c r="H158" s="177" t="s">
        <v>652</v>
      </c>
      <c r="J158" s="176" t="b">
        <f>EXACT(G158,'Vh5205_C-99'!G158)</f>
        <v>1</v>
      </c>
    </row>
    <row r="159" spans="1:10" s="7" customFormat="1" x14ac:dyDescent="0.35">
      <c r="A159" s="90">
        <v>155</v>
      </c>
      <c r="B159" s="10" t="s">
        <v>707</v>
      </c>
      <c r="C159" s="10" t="s">
        <v>32</v>
      </c>
      <c r="D159" s="146"/>
      <c r="E159" s="146" t="s">
        <v>586</v>
      </c>
      <c r="F159" s="19" t="s">
        <v>26</v>
      </c>
      <c r="G159" s="198" t="s">
        <v>497</v>
      </c>
      <c r="H159" s="177" t="s">
        <v>652</v>
      </c>
      <c r="J159" s="176" t="b">
        <f>EXACT(G159,'Vh5205_C-99'!G159)</f>
        <v>1</v>
      </c>
    </row>
    <row r="160" spans="1:10" s="7" customFormat="1" x14ac:dyDescent="0.35">
      <c r="A160" s="90">
        <v>156</v>
      </c>
      <c r="B160" s="10" t="s">
        <v>707</v>
      </c>
      <c r="C160" s="10" t="s">
        <v>291</v>
      </c>
      <c r="D160" s="146"/>
      <c r="E160" s="146" t="s">
        <v>2</v>
      </c>
      <c r="F160" s="19" t="s">
        <v>26</v>
      </c>
      <c r="G160" s="192">
        <v>25</v>
      </c>
      <c r="H160" s="177" t="s">
        <v>652</v>
      </c>
      <c r="J160" s="176" t="b">
        <f>EXACT(G160,'Vh5205_C-99'!G160)</f>
        <v>1</v>
      </c>
    </row>
    <row r="161" spans="1:10" s="7" customFormat="1" x14ac:dyDescent="0.35">
      <c r="A161" s="90">
        <v>157</v>
      </c>
      <c r="B161" s="146" t="s">
        <v>707</v>
      </c>
      <c r="C161" s="146" t="s">
        <v>293</v>
      </c>
      <c r="D161" s="146"/>
      <c r="E161" s="146"/>
      <c r="F161" s="20" t="s">
        <v>26</v>
      </c>
      <c r="G161" s="192" t="s">
        <v>196</v>
      </c>
      <c r="H161" s="177" t="s">
        <v>652</v>
      </c>
      <c r="J161" s="176" t="b">
        <f>EXACT(G161,'Vh5205_C-99'!G161)</f>
        <v>1</v>
      </c>
    </row>
    <row r="162" spans="1:10" s="7" customFormat="1" x14ac:dyDescent="0.35">
      <c r="A162" s="90">
        <v>158</v>
      </c>
      <c r="B162" s="104" t="s">
        <v>707</v>
      </c>
      <c r="C162" s="104" t="s">
        <v>161</v>
      </c>
      <c r="D162" s="104"/>
      <c r="E162" s="104"/>
      <c r="F162" s="20" t="s">
        <v>79</v>
      </c>
      <c r="G162" s="161" t="s">
        <v>539</v>
      </c>
      <c r="H162" s="177" t="s">
        <v>652</v>
      </c>
      <c r="J162" s="176" t="b">
        <f>EXACT(G162,'Vh5205_C-99'!G162)</f>
        <v>1</v>
      </c>
    </row>
    <row r="163" spans="1:10" x14ac:dyDescent="0.35">
      <c r="A163" s="90">
        <v>159</v>
      </c>
      <c r="B163" s="104" t="s">
        <v>707</v>
      </c>
      <c r="C163" s="104" t="s">
        <v>358</v>
      </c>
      <c r="D163" s="104"/>
      <c r="E163" s="104"/>
      <c r="F163" s="20" t="s">
        <v>26</v>
      </c>
      <c r="G163" s="195">
        <v>44735</v>
      </c>
      <c r="H163" s="140"/>
      <c r="J163" s="2" t="b">
        <f>EXACT(G163,'Vh5205_C-99'!G163)</f>
        <v>1</v>
      </c>
    </row>
    <row r="164" spans="1:10" x14ac:dyDescent="0.35">
      <c r="A164" s="90">
        <v>160</v>
      </c>
      <c r="B164" s="104" t="s">
        <v>707</v>
      </c>
      <c r="C164" s="104" t="s">
        <v>271</v>
      </c>
      <c r="D164" s="104"/>
      <c r="E164" s="104"/>
      <c r="F164" s="20" t="s">
        <v>26</v>
      </c>
      <c r="G164" s="161" t="s">
        <v>492</v>
      </c>
      <c r="H164" s="177" t="s">
        <v>652</v>
      </c>
      <c r="J164" s="176" t="b">
        <f>EXACT(G164,'Vh5205_C-99'!G164)</f>
        <v>1</v>
      </c>
    </row>
    <row r="165" spans="1:10" s="7" customFormat="1" x14ac:dyDescent="0.35">
      <c r="A165" s="90">
        <v>161</v>
      </c>
      <c r="B165" s="146" t="s">
        <v>707</v>
      </c>
      <c r="C165" s="146" t="s">
        <v>119</v>
      </c>
      <c r="D165" s="146"/>
      <c r="E165" s="146"/>
      <c r="F165" s="20" t="s">
        <v>26</v>
      </c>
      <c r="G165" s="161">
        <v>1</v>
      </c>
      <c r="H165" s="177" t="s">
        <v>652</v>
      </c>
      <c r="J165" s="176" t="b">
        <f>EXACT(G165,'Vh5205_C-99'!G165)</f>
        <v>1</v>
      </c>
    </row>
    <row r="166" spans="1:10" s="7" customFormat="1" x14ac:dyDescent="0.35">
      <c r="A166" s="90">
        <v>162</v>
      </c>
      <c r="B166" s="146" t="s">
        <v>707</v>
      </c>
      <c r="C166" s="146" t="s">
        <v>145</v>
      </c>
      <c r="D166" s="146"/>
      <c r="E166" s="10" t="s">
        <v>171</v>
      </c>
      <c r="F166" s="20" t="s">
        <v>26</v>
      </c>
      <c r="G166" s="161" t="s">
        <v>543</v>
      </c>
      <c r="H166" s="177" t="s">
        <v>652</v>
      </c>
      <c r="J166" s="176" t="b">
        <f>EXACT(G166,'Vh5205_C-99'!G166)</f>
        <v>1</v>
      </c>
    </row>
    <row r="167" spans="1:10" s="7" customFormat="1" x14ac:dyDescent="0.35">
      <c r="A167" s="90">
        <v>163</v>
      </c>
      <c r="B167" s="87" t="s">
        <v>707</v>
      </c>
      <c r="C167" s="87" t="s">
        <v>120</v>
      </c>
      <c r="D167" s="87"/>
      <c r="E167" s="87"/>
      <c r="F167" s="21" t="s">
        <v>26</v>
      </c>
      <c r="G167" s="194" t="s">
        <v>276</v>
      </c>
      <c r="H167" s="180" t="s">
        <v>652</v>
      </c>
      <c r="J167" s="176" t="b">
        <f>EXACT(G167,'Vh5205_C-99'!G167)</f>
        <v>1</v>
      </c>
    </row>
    <row r="168" spans="1:10" s="7" customFormat="1" x14ac:dyDescent="0.35">
      <c r="A168" s="90"/>
      <c r="B168" s="10" t="s">
        <v>708</v>
      </c>
      <c r="C168" s="10"/>
      <c r="D168" s="146"/>
      <c r="E168" s="146"/>
      <c r="F168" s="20"/>
      <c r="G168" s="208"/>
      <c r="H168" s="180"/>
      <c r="J168" s="1" t="b">
        <f>EXACT(G168,'Vh5205_C-99'!G168)</f>
        <v>1</v>
      </c>
    </row>
    <row r="169" spans="1:10" s="7" customFormat="1" ht="46.5" x14ac:dyDescent="0.35">
      <c r="A169" s="90">
        <v>164</v>
      </c>
      <c r="B169" s="102" t="s">
        <v>709</v>
      </c>
      <c r="C169" s="102" t="s">
        <v>588</v>
      </c>
      <c r="D169" s="100"/>
      <c r="E169" s="100"/>
      <c r="F169" s="18" t="s">
        <v>26</v>
      </c>
      <c r="G169" s="197" t="s">
        <v>657</v>
      </c>
      <c r="H169" s="177" t="s">
        <v>652</v>
      </c>
      <c r="J169" s="176" t="b">
        <f>EXACT(G169,'Vh5205_C-99'!G169)</f>
        <v>1</v>
      </c>
    </row>
    <row r="170" spans="1:10" s="7" customFormat="1" ht="31" x14ac:dyDescent="0.35">
      <c r="A170" s="90">
        <v>165</v>
      </c>
      <c r="B170" s="10" t="s">
        <v>709</v>
      </c>
      <c r="C170" s="10" t="s">
        <v>589</v>
      </c>
      <c r="D170" s="146"/>
      <c r="E170" s="146"/>
      <c r="F170" s="23" t="s">
        <v>26</v>
      </c>
      <c r="G170" s="161" t="s">
        <v>622</v>
      </c>
      <c r="H170" s="177" t="s">
        <v>652</v>
      </c>
      <c r="J170" s="176" t="b">
        <f>EXACT(G170,'Vh5205_C-99'!G170)</f>
        <v>1</v>
      </c>
    </row>
    <row r="171" spans="1:10" s="7" customFormat="1" ht="17.5" x14ac:dyDescent="0.35">
      <c r="A171" s="90">
        <v>166</v>
      </c>
      <c r="B171" s="10" t="s">
        <v>709</v>
      </c>
      <c r="C171" s="10" t="s">
        <v>498</v>
      </c>
      <c r="D171" s="146"/>
      <c r="E171" s="146"/>
      <c r="F171" s="23" t="s">
        <v>26</v>
      </c>
      <c r="G171" s="161" t="s">
        <v>658</v>
      </c>
      <c r="H171" s="177" t="s">
        <v>652</v>
      </c>
      <c r="J171" s="176" t="b">
        <f>EXACT(G171,'Vh5205_C-99'!G171)</f>
        <v>1</v>
      </c>
    </row>
    <row r="172" spans="1:10" s="7" customFormat="1" x14ac:dyDescent="0.35">
      <c r="A172" s="90">
        <v>167</v>
      </c>
      <c r="B172" s="10" t="s">
        <v>709</v>
      </c>
      <c r="C172" s="10" t="s">
        <v>313</v>
      </c>
      <c r="D172" s="146"/>
      <c r="E172" s="146"/>
      <c r="F172" s="19" t="s">
        <v>26</v>
      </c>
      <c r="G172" s="192" t="s">
        <v>48</v>
      </c>
      <c r="H172" s="177" t="s">
        <v>652</v>
      </c>
      <c r="J172" s="176" t="b">
        <f>EXACT(G172,'Vh5205_C-99'!G172)</f>
        <v>1</v>
      </c>
    </row>
    <row r="173" spans="1:10" s="7" customFormat="1" x14ac:dyDescent="0.35">
      <c r="A173" s="90">
        <v>168</v>
      </c>
      <c r="B173" s="146" t="s">
        <v>709</v>
      </c>
      <c r="C173" s="146" t="s">
        <v>306</v>
      </c>
      <c r="D173" s="146"/>
      <c r="E173" s="146"/>
      <c r="F173" s="19" t="s">
        <v>26</v>
      </c>
      <c r="G173" s="192" t="s">
        <v>524</v>
      </c>
      <c r="H173" s="177" t="s">
        <v>652</v>
      </c>
      <c r="J173" s="176" t="b">
        <f>EXACT(G173,'Vh5205_C-99'!G173)</f>
        <v>1</v>
      </c>
    </row>
    <row r="174" spans="1:10" s="7" customFormat="1" x14ac:dyDescent="0.35">
      <c r="A174" s="90">
        <v>169</v>
      </c>
      <c r="B174" s="87" t="s">
        <v>709</v>
      </c>
      <c r="C174" s="87" t="s">
        <v>307</v>
      </c>
      <c r="D174" s="87"/>
      <c r="E174" s="87"/>
      <c r="F174" s="22" t="s">
        <v>79</v>
      </c>
      <c r="G174" s="196"/>
      <c r="H174" s="180"/>
      <c r="J174" s="1" t="b">
        <f>EXACT(G174,'Vh5205_C-99'!G174)</f>
        <v>1</v>
      </c>
    </row>
    <row r="175" spans="1:10" s="7" customFormat="1" x14ac:dyDescent="0.35">
      <c r="A175" s="90">
        <v>170</v>
      </c>
      <c r="B175" s="146" t="s">
        <v>710</v>
      </c>
      <c r="C175" s="146" t="s">
        <v>10</v>
      </c>
      <c r="D175" s="146" t="s">
        <v>146</v>
      </c>
      <c r="E175" s="146" t="s">
        <v>2</v>
      </c>
      <c r="F175" s="19" t="s">
        <v>26</v>
      </c>
      <c r="G175" s="209">
        <v>6</v>
      </c>
      <c r="H175" s="177"/>
      <c r="J175" s="1" t="b">
        <f>EXACT(G175,'Vh5205_C-99'!G175)</f>
        <v>1</v>
      </c>
    </row>
    <row r="176" spans="1:10" s="7" customFormat="1" ht="17.5" x14ac:dyDescent="0.35">
      <c r="A176" s="90">
        <v>171</v>
      </c>
      <c r="B176" s="146" t="s">
        <v>710</v>
      </c>
      <c r="C176" s="146" t="s">
        <v>11</v>
      </c>
      <c r="D176" s="146" t="s">
        <v>591</v>
      </c>
      <c r="E176" s="146" t="s">
        <v>2</v>
      </c>
      <c r="F176" s="19" t="s">
        <v>26</v>
      </c>
      <c r="G176" s="210">
        <v>23.8</v>
      </c>
      <c r="H176" s="177"/>
      <c r="J176" s="1" t="b">
        <f>EXACT(G176,'Vh5205_C-99'!G176)</f>
        <v>0</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EXACT(G177,'Vh5205_C-99'!G177)</f>
        <v>1</v>
      </c>
    </row>
    <row r="178" spans="1:10" s="7" customFormat="1" x14ac:dyDescent="0.35">
      <c r="A178" s="90">
        <v>173</v>
      </c>
      <c r="B178" s="10" t="s">
        <v>710</v>
      </c>
      <c r="C178" s="10" t="s">
        <v>28</v>
      </c>
      <c r="D178" s="146" t="s">
        <v>593</v>
      </c>
      <c r="E178" s="146" t="s">
        <v>2</v>
      </c>
      <c r="F178" s="19" t="s">
        <v>26</v>
      </c>
      <c r="G178" s="211">
        <v>22.7</v>
      </c>
      <c r="H178" s="177"/>
      <c r="J178" s="1" t="b">
        <f>EXACT(G178,'Vh5205_C-99'!G178)</f>
        <v>0</v>
      </c>
    </row>
    <row r="179" spans="1:10" s="7" customFormat="1" ht="17.5" x14ac:dyDescent="0.35">
      <c r="A179" s="90">
        <v>174</v>
      </c>
      <c r="B179" s="10" t="s">
        <v>710</v>
      </c>
      <c r="C179" s="10" t="s">
        <v>29</v>
      </c>
      <c r="D179" s="10" t="s">
        <v>440</v>
      </c>
      <c r="E179" s="146" t="s">
        <v>2</v>
      </c>
      <c r="F179" s="19" t="s">
        <v>26</v>
      </c>
      <c r="G179" s="210">
        <v>23.8</v>
      </c>
      <c r="H179" s="177"/>
      <c r="J179" s="1" t="b">
        <f>EXACT(G179,'Vh5205_C-99'!G179)</f>
        <v>0</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EXACT(G180,'Vh5205_C-99'!G180)</f>
        <v>1</v>
      </c>
    </row>
    <row r="181" spans="1:10" s="7" customFormat="1" ht="17.5" x14ac:dyDescent="0.35">
      <c r="A181" s="90">
        <v>176</v>
      </c>
      <c r="B181" s="10" t="s">
        <v>710</v>
      </c>
      <c r="C181" s="10" t="s">
        <v>30</v>
      </c>
      <c r="D181" s="10" t="s">
        <v>443</v>
      </c>
      <c r="E181" s="146" t="s">
        <v>2</v>
      </c>
      <c r="F181" s="19" t="s">
        <v>26</v>
      </c>
      <c r="G181" s="211">
        <v>22.7</v>
      </c>
      <c r="H181" s="177"/>
      <c r="J181" s="1" t="b">
        <f>EXACT(G181,'Vh5205_C-99'!G181)</f>
        <v>0</v>
      </c>
    </row>
    <row r="182" spans="1:10" s="7" customFormat="1" x14ac:dyDescent="0.35">
      <c r="A182" s="90">
        <v>177</v>
      </c>
      <c r="B182" s="146" t="s">
        <v>710</v>
      </c>
      <c r="C182" s="146" t="s">
        <v>444</v>
      </c>
      <c r="D182" s="10" t="s">
        <v>445</v>
      </c>
      <c r="E182" s="146" t="s">
        <v>2</v>
      </c>
      <c r="F182" s="19" t="s">
        <v>26</v>
      </c>
      <c r="G182" s="211">
        <v>4</v>
      </c>
      <c r="H182" s="177"/>
      <c r="J182" s="1" t="b">
        <f>EXACT(G182,'Vh5205_C-99'!G182)</f>
        <v>1</v>
      </c>
    </row>
    <row r="183" spans="1:10" s="7" customFormat="1" ht="17.5" x14ac:dyDescent="0.35">
      <c r="A183" s="90">
        <v>178</v>
      </c>
      <c r="B183" s="146" t="s">
        <v>710</v>
      </c>
      <c r="C183" s="146" t="s">
        <v>446</v>
      </c>
      <c r="D183" s="10" t="s">
        <v>447</v>
      </c>
      <c r="E183" s="146" t="s">
        <v>2</v>
      </c>
      <c r="F183" s="19" t="s">
        <v>26</v>
      </c>
      <c r="G183" s="203">
        <v>4.47</v>
      </c>
      <c r="H183" s="177"/>
      <c r="J183" s="1" t="b">
        <f>EXACT(G183,'Vh5205_C-99'!G183)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EXACT(G184,'Vh5205_C-99'!G184)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EXACT(G185,'Vh5205_C-99'!G185)</f>
        <v>1</v>
      </c>
    </row>
    <row r="186" spans="1:10" s="7" customFormat="1" x14ac:dyDescent="0.35">
      <c r="A186" s="90">
        <v>181</v>
      </c>
      <c r="B186" s="146" t="s">
        <v>710</v>
      </c>
      <c r="C186" s="146" t="s">
        <v>452</v>
      </c>
      <c r="D186" s="10" t="s">
        <v>453</v>
      </c>
      <c r="E186" s="146" t="s">
        <v>2</v>
      </c>
      <c r="F186" s="19" t="s">
        <v>26</v>
      </c>
      <c r="G186" s="211">
        <v>3.8</v>
      </c>
      <c r="H186" s="177"/>
      <c r="J186" s="1" t="b">
        <f>EXACT(G186,'Vh5205_C-99'!G186)</f>
        <v>1</v>
      </c>
    </row>
    <row r="187" spans="1:10" s="7" customFormat="1" ht="17.5" x14ac:dyDescent="0.35">
      <c r="A187" s="90">
        <v>182</v>
      </c>
      <c r="B187" s="87" t="s">
        <v>710</v>
      </c>
      <c r="C187" s="87" t="s">
        <v>454</v>
      </c>
      <c r="D187" s="13" t="s">
        <v>455</v>
      </c>
      <c r="E187" s="87" t="s">
        <v>2</v>
      </c>
      <c r="F187" s="22" t="s">
        <v>26</v>
      </c>
      <c r="G187" s="212">
        <v>4.2699999999999996</v>
      </c>
      <c r="H187" s="180"/>
      <c r="J187" s="1" t="b">
        <f>EXACT(G187,'Vh5205_C-99'!G187)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EXACT(G188,'Vh5205_C-99'!G188)</f>
        <v>1</v>
      </c>
    </row>
    <row r="189" spans="1:10" s="7" customFormat="1" x14ac:dyDescent="0.35">
      <c r="A189" s="90">
        <v>184</v>
      </c>
      <c r="B189" s="10" t="s">
        <v>711</v>
      </c>
      <c r="C189" s="10" t="s">
        <v>47</v>
      </c>
      <c r="D189" s="106" t="s">
        <v>597</v>
      </c>
      <c r="E189" s="146" t="s">
        <v>2</v>
      </c>
      <c r="F189" s="19" t="s">
        <v>79</v>
      </c>
      <c r="G189" s="161"/>
      <c r="H189" s="177"/>
      <c r="J189" s="1" t="b">
        <f>EXACT(G189,'Vh5205_C-99'!G189)</f>
        <v>1</v>
      </c>
    </row>
    <row r="190" spans="1:10" s="7" customFormat="1" ht="17.5" x14ac:dyDescent="0.35">
      <c r="A190" s="90">
        <v>185</v>
      </c>
      <c r="B190" s="10" t="s">
        <v>711</v>
      </c>
      <c r="C190" s="10" t="s">
        <v>175</v>
      </c>
      <c r="D190" s="106" t="s">
        <v>598</v>
      </c>
      <c r="E190" s="146" t="s">
        <v>2</v>
      </c>
      <c r="F190" s="19" t="s">
        <v>79</v>
      </c>
      <c r="G190" s="161"/>
      <c r="H190" s="177"/>
      <c r="J190" s="1" t="b">
        <f>EXACT(G190,'Vh5205_C-99'!G190)</f>
        <v>1</v>
      </c>
    </row>
    <row r="191" spans="1:10" s="7" customFormat="1" x14ac:dyDescent="0.35">
      <c r="A191" s="90">
        <v>186</v>
      </c>
      <c r="B191" s="146" t="s">
        <v>711</v>
      </c>
      <c r="C191" s="146" t="s">
        <v>12</v>
      </c>
      <c r="D191" s="146"/>
      <c r="E191" s="146" t="s">
        <v>5</v>
      </c>
      <c r="F191" s="19" t="s">
        <v>26</v>
      </c>
      <c r="G191" s="161">
        <v>3.45</v>
      </c>
      <c r="H191" s="177"/>
      <c r="J191" s="1" t="b">
        <f>EXACT(G191,'Vh5205_C-99'!G191)</f>
        <v>0</v>
      </c>
    </row>
    <row r="192" spans="1:10" s="7" customFormat="1" x14ac:dyDescent="0.35">
      <c r="A192" s="90">
        <v>187</v>
      </c>
      <c r="B192" s="146" t="s">
        <v>711</v>
      </c>
      <c r="C192" s="146" t="s">
        <v>53</v>
      </c>
      <c r="D192" s="146"/>
      <c r="E192" s="146" t="s">
        <v>5</v>
      </c>
      <c r="F192" s="19" t="s">
        <v>26</v>
      </c>
      <c r="G192" s="161">
        <v>1.41</v>
      </c>
      <c r="H192" s="177"/>
      <c r="J192" s="1" t="b">
        <f>EXACT(G192,'Vh5205_C-99'!G192)</f>
        <v>0</v>
      </c>
    </row>
    <row r="193" spans="1:10" s="7" customFormat="1" x14ac:dyDescent="0.35">
      <c r="A193" s="90">
        <v>188</v>
      </c>
      <c r="B193" s="146" t="s">
        <v>711</v>
      </c>
      <c r="C193" s="146" t="s">
        <v>8</v>
      </c>
      <c r="D193" s="146" t="s">
        <v>36</v>
      </c>
      <c r="E193" s="146" t="s">
        <v>5</v>
      </c>
      <c r="F193" s="22" t="s">
        <v>26</v>
      </c>
      <c r="G193" s="213">
        <v>78.7</v>
      </c>
      <c r="H193" s="180"/>
      <c r="J193" s="1" t="b">
        <f>EXACT(G193,'Vh5205_C-99'!G193)</f>
        <v>0</v>
      </c>
    </row>
    <row r="194" spans="1:10" s="7" customFormat="1" ht="17.5" x14ac:dyDescent="0.35">
      <c r="A194" s="90">
        <v>189</v>
      </c>
      <c r="B194" s="100" t="s">
        <v>712</v>
      </c>
      <c r="C194" s="100" t="s">
        <v>118</v>
      </c>
      <c r="D194" s="100" t="s">
        <v>599</v>
      </c>
      <c r="E194" s="100" t="s">
        <v>5</v>
      </c>
      <c r="F194" s="19" t="s">
        <v>26</v>
      </c>
      <c r="G194" s="214">
        <v>78.7</v>
      </c>
      <c r="H194" s="177"/>
      <c r="J194" s="1" t="b">
        <f>EXACT(G194,'Vh5205_C-99'!G194)</f>
        <v>0</v>
      </c>
    </row>
    <row r="195" spans="1:10" s="7" customFormat="1" x14ac:dyDescent="0.35">
      <c r="A195" s="90">
        <v>190</v>
      </c>
      <c r="B195" s="10" t="s">
        <v>712</v>
      </c>
      <c r="C195" s="10" t="s">
        <v>176</v>
      </c>
      <c r="D195" s="146"/>
      <c r="E195" s="146"/>
      <c r="F195" s="19" t="s">
        <v>26</v>
      </c>
      <c r="G195" s="161" t="s">
        <v>533</v>
      </c>
      <c r="H195" s="177"/>
      <c r="J195" s="1" t="b">
        <f>EXACT(G195,'Vh5205_C-99'!G195)</f>
        <v>1</v>
      </c>
    </row>
    <row r="196" spans="1:10" s="7" customFormat="1" x14ac:dyDescent="0.35">
      <c r="A196" s="90">
        <v>191</v>
      </c>
      <c r="B196" s="13" t="s">
        <v>712</v>
      </c>
      <c r="C196" s="13" t="s">
        <v>38</v>
      </c>
      <c r="D196" s="87" t="s">
        <v>49</v>
      </c>
      <c r="E196" s="87" t="s">
        <v>2</v>
      </c>
      <c r="F196" s="22" t="s">
        <v>79</v>
      </c>
      <c r="G196" s="215">
        <v>30.4</v>
      </c>
      <c r="H196" s="180"/>
      <c r="J196" s="1" t="b">
        <f>EXACT(G196,'Vh5205_C-99'!G196)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EXACT(G197,'Vh5205_C-99'!G197)</f>
        <v>1</v>
      </c>
    </row>
    <row r="198" spans="1:10" s="7" customFormat="1" x14ac:dyDescent="0.35">
      <c r="A198" s="90">
        <v>193</v>
      </c>
      <c r="B198" s="10" t="s">
        <v>711</v>
      </c>
      <c r="C198" s="10" t="s">
        <v>193</v>
      </c>
      <c r="D198" s="5"/>
      <c r="E198" s="10" t="s">
        <v>0</v>
      </c>
      <c r="F198" s="19" t="s">
        <v>26</v>
      </c>
      <c r="G198" s="192" t="s">
        <v>659</v>
      </c>
      <c r="H198" s="177" t="s">
        <v>652</v>
      </c>
      <c r="J198" s="176" t="b">
        <f>EXACT(G198,'Vh5205_C-99'!G198)</f>
        <v>1</v>
      </c>
    </row>
    <row r="199" spans="1:10" s="7" customFormat="1" x14ac:dyDescent="0.35">
      <c r="A199" s="90">
        <v>194</v>
      </c>
      <c r="B199" s="146" t="s">
        <v>711</v>
      </c>
      <c r="C199" s="146" t="s">
        <v>13</v>
      </c>
      <c r="D199" s="146"/>
      <c r="E199" s="146" t="s">
        <v>6</v>
      </c>
      <c r="F199" s="19" t="s">
        <v>79</v>
      </c>
      <c r="G199" s="161"/>
      <c r="H199" s="177"/>
      <c r="J199" s="1" t="b">
        <f>EXACT(G199,'Vh5205_C-99'!G199)</f>
        <v>1</v>
      </c>
    </row>
    <row r="200" spans="1:10" s="7" customFormat="1" x14ac:dyDescent="0.35">
      <c r="A200" s="90">
        <v>195</v>
      </c>
      <c r="B200" s="146" t="s">
        <v>711</v>
      </c>
      <c r="C200" s="146" t="s">
        <v>14</v>
      </c>
      <c r="D200" s="146"/>
      <c r="E200" s="146" t="s">
        <v>6</v>
      </c>
      <c r="F200" s="19" t="s">
        <v>79</v>
      </c>
      <c r="G200" s="161"/>
      <c r="H200" s="177"/>
      <c r="J200" s="1" t="b">
        <f>EXACT(G200,'Vh5205_C-99'!G200)</f>
        <v>1</v>
      </c>
    </row>
    <row r="201" spans="1:10" s="7" customFormat="1" x14ac:dyDescent="0.35">
      <c r="A201" s="90">
        <v>196</v>
      </c>
      <c r="B201" s="146" t="s">
        <v>711</v>
      </c>
      <c r="C201" s="146" t="s">
        <v>19</v>
      </c>
      <c r="D201" s="146"/>
      <c r="E201" s="146" t="s">
        <v>113</v>
      </c>
      <c r="F201" s="19" t="s">
        <v>79</v>
      </c>
      <c r="G201" s="161"/>
      <c r="H201" s="177"/>
      <c r="J201" s="1" t="b">
        <f>EXACT(G201,'Vh5205_C-99'!G201)</f>
        <v>1</v>
      </c>
    </row>
    <row r="202" spans="1:10" s="7" customFormat="1" x14ac:dyDescent="0.35">
      <c r="A202" s="90">
        <v>197</v>
      </c>
      <c r="B202" s="146" t="s">
        <v>711</v>
      </c>
      <c r="C202" s="146" t="s">
        <v>20</v>
      </c>
      <c r="D202" s="146"/>
      <c r="E202" s="146" t="s">
        <v>113</v>
      </c>
      <c r="F202" s="19" t="s">
        <v>79</v>
      </c>
      <c r="G202" s="161"/>
      <c r="H202" s="177"/>
      <c r="J202" s="1" t="b">
        <f>EXACT(G202,'Vh5205_C-99'!G202)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EXACT(G203,'Vh5205_C-99'!G203)</f>
        <v>1</v>
      </c>
    </row>
    <row r="204" spans="1:10" s="7" customFormat="1" ht="17.5" x14ac:dyDescent="0.35">
      <c r="A204" s="90">
        <v>199</v>
      </c>
      <c r="B204" s="10" t="s">
        <v>713</v>
      </c>
      <c r="C204" s="10" t="s">
        <v>180</v>
      </c>
      <c r="D204" s="102" t="s">
        <v>181</v>
      </c>
      <c r="E204" s="100" t="s">
        <v>1</v>
      </c>
      <c r="F204" s="23" t="s">
        <v>26</v>
      </c>
      <c r="G204" s="161" t="s">
        <v>524</v>
      </c>
      <c r="H204" s="177"/>
      <c r="J204" s="1" t="b">
        <f>EXACT(G204,'Vh5205_C-99'!G204)</f>
        <v>1</v>
      </c>
    </row>
    <row r="205" spans="1:10" s="7" customFormat="1" x14ac:dyDescent="0.35">
      <c r="A205" s="90">
        <v>200</v>
      </c>
      <c r="B205" s="146" t="s">
        <v>713</v>
      </c>
      <c r="C205" s="146" t="s">
        <v>37</v>
      </c>
      <c r="D205" s="146" t="s">
        <v>50</v>
      </c>
      <c r="E205" s="146" t="s">
        <v>1</v>
      </c>
      <c r="F205" s="23" t="s">
        <v>26</v>
      </c>
      <c r="G205" s="216">
        <v>28</v>
      </c>
      <c r="H205" s="177"/>
      <c r="J205" s="1" t="b">
        <f>EXACT(G205,'Vh5205_C-99'!G205)</f>
        <v>1</v>
      </c>
    </row>
    <row r="206" spans="1:10" s="7" customFormat="1" ht="17.5" x14ac:dyDescent="0.35">
      <c r="A206" s="90">
        <v>201</v>
      </c>
      <c r="B206" s="87" t="s">
        <v>713</v>
      </c>
      <c r="C206" s="87" t="s">
        <v>610</v>
      </c>
      <c r="D206" s="13" t="s">
        <v>182</v>
      </c>
      <c r="E206" s="103" t="s">
        <v>1</v>
      </c>
      <c r="F206" s="24" t="s">
        <v>26</v>
      </c>
      <c r="G206" s="217">
        <v>55</v>
      </c>
      <c r="H206" s="180"/>
      <c r="J206" s="1" t="b">
        <f>EXACT(G206,'Vh5205_C-99'!G206)</f>
        <v>0</v>
      </c>
    </row>
    <row r="207" spans="1:10" s="7" customFormat="1" x14ac:dyDescent="0.35">
      <c r="A207" s="90">
        <v>202</v>
      </c>
      <c r="B207" s="5" t="s">
        <v>714</v>
      </c>
      <c r="C207" s="5" t="s">
        <v>392</v>
      </c>
      <c r="D207" s="146"/>
      <c r="E207" s="146"/>
      <c r="F207" s="23" t="s">
        <v>26</v>
      </c>
      <c r="G207" s="161" t="s">
        <v>524</v>
      </c>
      <c r="H207" s="177" t="s">
        <v>652</v>
      </c>
      <c r="J207" s="176" t="b">
        <f>EXACT(G207,'Vh5205_C-99'!G207)</f>
        <v>1</v>
      </c>
    </row>
    <row r="208" spans="1:10" s="7" customFormat="1" x14ac:dyDescent="0.35">
      <c r="A208" s="90">
        <v>203</v>
      </c>
      <c r="B208" s="146" t="s">
        <v>714</v>
      </c>
      <c r="C208" s="146" t="s">
        <v>25</v>
      </c>
      <c r="D208" s="146" t="s">
        <v>601</v>
      </c>
      <c r="E208" s="146" t="s">
        <v>1</v>
      </c>
      <c r="F208" s="19" t="s">
        <v>26</v>
      </c>
      <c r="G208" s="218">
        <v>28.1</v>
      </c>
      <c r="H208" s="177"/>
      <c r="J208" s="1" t="b">
        <f>EXACT(G208,'Vh5205_C-99'!G208)</f>
        <v>0</v>
      </c>
    </row>
    <row r="209" spans="1:10" s="7" customFormat="1" x14ac:dyDescent="0.35">
      <c r="A209" s="90">
        <v>204</v>
      </c>
      <c r="B209" s="146" t="s">
        <v>714</v>
      </c>
      <c r="C209" s="146" t="s">
        <v>33</v>
      </c>
      <c r="D209" s="146" t="s">
        <v>602</v>
      </c>
      <c r="E209" s="146" t="s">
        <v>1</v>
      </c>
      <c r="F209" s="19" t="s">
        <v>26</v>
      </c>
      <c r="G209" s="219">
        <v>0.28999999999999998</v>
      </c>
      <c r="H209" s="177"/>
      <c r="J209" s="1" t="b">
        <f>EXACT(G209,'Vh5205_C-99'!G209)</f>
        <v>0</v>
      </c>
    </row>
    <row r="210" spans="1:10" s="7" customFormat="1" ht="17.5" x14ac:dyDescent="0.35">
      <c r="A210" s="90">
        <v>205</v>
      </c>
      <c r="B210" s="146" t="s">
        <v>714</v>
      </c>
      <c r="C210" s="146" t="s">
        <v>27</v>
      </c>
      <c r="D210" s="146" t="s">
        <v>603</v>
      </c>
      <c r="E210" s="146" t="s">
        <v>1</v>
      </c>
      <c r="F210" s="19" t="s">
        <v>26</v>
      </c>
      <c r="G210" s="219">
        <v>0.27400000000000002</v>
      </c>
      <c r="H210" s="177"/>
      <c r="J210" s="1" t="b">
        <f>EXACT(G210,'Vh5205_C-99'!G210)</f>
        <v>0</v>
      </c>
    </row>
    <row r="211" spans="1:10" s="7" customFormat="1" x14ac:dyDescent="0.35">
      <c r="A211" s="90">
        <v>206</v>
      </c>
      <c r="B211" s="146" t="s">
        <v>714</v>
      </c>
      <c r="C211" s="146" t="s">
        <v>34</v>
      </c>
      <c r="D211" s="146" t="s">
        <v>604</v>
      </c>
      <c r="E211" s="146" t="s">
        <v>1</v>
      </c>
      <c r="F211" s="19" t="s">
        <v>26</v>
      </c>
      <c r="G211" s="216">
        <v>1.6E-2</v>
      </c>
      <c r="H211" s="177"/>
      <c r="J211" s="1" t="b">
        <f>EXACT(G211,'Vh5205_C-99'!G211)</f>
        <v>0</v>
      </c>
    </row>
    <row r="212" spans="1:10" s="7" customFormat="1" x14ac:dyDescent="0.35">
      <c r="A212" s="90">
        <v>207</v>
      </c>
      <c r="B212" s="146" t="s">
        <v>714</v>
      </c>
      <c r="C212" s="146" t="s">
        <v>24</v>
      </c>
      <c r="D212" s="146" t="s">
        <v>605</v>
      </c>
      <c r="E212" s="146" t="s">
        <v>1</v>
      </c>
      <c r="F212" s="19" t="s">
        <v>26</v>
      </c>
      <c r="G212" s="219">
        <v>27.8</v>
      </c>
      <c r="H212" s="177"/>
      <c r="J212" s="1" t="b">
        <f>EXACT(G212,'Vh5205_C-99'!G212)</f>
        <v>0</v>
      </c>
    </row>
    <row r="213" spans="1:10" s="7" customFormat="1" ht="17.5" x14ac:dyDescent="0.35">
      <c r="A213" s="123">
        <v>208</v>
      </c>
      <c r="B213" s="87" t="s">
        <v>714</v>
      </c>
      <c r="C213" s="87" t="s">
        <v>23</v>
      </c>
      <c r="D213" s="87" t="s">
        <v>606</v>
      </c>
      <c r="E213" s="87" t="s">
        <v>1</v>
      </c>
      <c r="F213" s="22" t="s">
        <v>26</v>
      </c>
      <c r="G213" s="220">
        <v>27.8</v>
      </c>
      <c r="H213" s="180"/>
      <c r="J213" s="1" t="b">
        <f>EXACT(G213,'Vh5205_C-99'!G213)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297" priority="432" operator="equal">
      <formula>"Mandatory"</formula>
    </cfRule>
  </conditionalFormatting>
  <conditionalFormatting sqref="F4:F213">
    <cfRule type="cellIs" dxfId="296" priority="430" operator="equal">
      <formula>"Recommended"</formula>
    </cfRule>
    <cfRule type="cellIs" dxfId="295" priority="431" operator="equal">
      <formula>"Optional"</formula>
    </cfRule>
  </conditionalFormatting>
  <conditionalFormatting sqref="F4:F213">
    <cfRule type="cellIs" dxfId="294" priority="429" operator="equal">
      <formula>"Undecided"</formula>
    </cfRule>
  </conditionalFormatting>
  <conditionalFormatting sqref="G227:G232">
    <cfRule type="cellIs" dxfId="293" priority="263" operator="notEqual">
      <formula>0</formula>
    </cfRule>
  </conditionalFormatting>
  <conditionalFormatting sqref="J4:J213">
    <cfRule type="cellIs" dxfId="292" priority="93" operator="equal">
      <formula>FALSE</formula>
    </cfRule>
    <cfRule type="cellIs" dxfId="291" priority="94" operator="equal">
      <formula>"""FALSE"""</formula>
    </cfRule>
    <cfRule type="cellIs" dxfId="290" priority="95" operator="equal">
      <formula>"""FALSE"""</formula>
    </cfRule>
  </conditionalFormatting>
  <conditionalFormatting sqref="H124:H130">
    <cfRule type="cellIs" dxfId="289" priority="89" operator="equal">
      <formula>"Mandatory"</formula>
    </cfRule>
  </conditionalFormatting>
  <conditionalFormatting sqref="H124:H130">
    <cfRule type="cellIs" dxfId="288" priority="87" operator="equal">
      <formula>"Recommended"</formula>
    </cfRule>
    <cfRule type="cellIs" dxfId="287" priority="88" operator="equal">
      <formula>"Optional"</formula>
    </cfRule>
  </conditionalFormatting>
  <conditionalFormatting sqref="H124:H130">
    <cfRule type="cellIs" dxfId="286" priority="86" operator="equal">
      <formula>"Undecided"</formula>
    </cfRule>
  </conditionalFormatting>
  <conditionalFormatting sqref="G15 G177 G180 G184:G185 G188 G197:G198 G20 G44 G34:G38 G51:G53 G68 G57:G60 G83:G85 G141 G203 G212:G213 G40">
    <cfRule type="cellIs" dxfId="285" priority="85" operator="equal">
      <formula>"Mandatory"</formula>
    </cfRule>
  </conditionalFormatting>
  <conditionalFormatting sqref="G15 G177 G180 G184:G185 G188 G197:G198 G20 G44 G34:G38 G51:G53 G68 G57:G60 G83:G85 G141 G203 G212:G213 G40">
    <cfRule type="cellIs" dxfId="284" priority="83" operator="equal">
      <formula>"Not Mandatory"</formula>
    </cfRule>
    <cfRule type="cellIs" dxfId="283" priority="84" operator="equal">
      <formula>"Recommended"</formula>
    </cfRule>
  </conditionalFormatting>
  <conditionalFormatting sqref="G44 G37:G38 G52:G53 G57:G60 G85 G40">
    <cfRule type="cellIs" dxfId="282" priority="81" operator="equal">
      <formula>"Not Mandatory"</formula>
    </cfRule>
    <cfRule type="cellIs" dxfId="281" priority="82" operator="equal">
      <formula>"Recommended"</formula>
    </cfRule>
  </conditionalFormatting>
  <conditionalFormatting sqref="G44 G37:G38 G52:G53 G57:G60 G85 G40">
    <cfRule type="cellIs" dxfId="280" priority="79" operator="equal">
      <formula>"Not Mandatory"</formula>
    </cfRule>
    <cfRule type="cellIs" dxfId="279" priority="80" operator="equal">
      <formula>"Recommended"</formula>
    </cfRule>
  </conditionalFormatting>
  <conditionalFormatting sqref="G48:G49">
    <cfRule type="cellIs" dxfId="278" priority="78" operator="equal">
      <formula>"Mandatory"</formula>
    </cfRule>
  </conditionalFormatting>
  <conditionalFormatting sqref="G48:G49">
    <cfRule type="cellIs" dxfId="277" priority="76" operator="equal">
      <formula>"Not Mandatory"</formula>
    </cfRule>
    <cfRule type="cellIs" dxfId="276" priority="77" operator="equal">
      <formula>"Recommended"</formula>
    </cfRule>
  </conditionalFormatting>
  <conditionalFormatting sqref="G48:G49">
    <cfRule type="cellIs" dxfId="275" priority="74" operator="equal">
      <formula>"Not Mandatory"</formula>
    </cfRule>
    <cfRule type="cellIs" dxfId="274" priority="75" operator="equal">
      <formula>"Recommended"</formula>
    </cfRule>
  </conditionalFormatting>
  <conditionalFormatting sqref="G48:G49">
    <cfRule type="cellIs" dxfId="273" priority="72" operator="equal">
      <formula>"Not Mandatory"</formula>
    </cfRule>
    <cfRule type="cellIs" dxfId="272" priority="73" operator="equal">
      <formula>"Recommended"</formula>
    </cfRule>
  </conditionalFormatting>
  <conditionalFormatting sqref="G69">
    <cfRule type="cellIs" dxfId="271" priority="71" operator="equal">
      <formula>"Mandatory"</formula>
    </cfRule>
  </conditionalFormatting>
  <conditionalFormatting sqref="G69">
    <cfRule type="cellIs" dxfId="270" priority="69" operator="equal">
      <formula>"Not Mandatory"</formula>
    </cfRule>
    <cfRule type="cellIs" dxfId="269" priority="70" operator="equal">
      <formula>"Recommended"</formula>
    </cfRule>
  </conditionalFormatting>
  <conditionalFormatting sqref="G86">
    <cfRule type="cellIs" dxfId="268" priority="68" operator="equal">
      <formula>"Mandatory"</formula>
    </cfRule>
  </conditionalFormatting>
  <conditionalFormatting sqref="G86">
    <cfRule type="cellIs" dxfId="267" priority="66" operator="equal">
      <formula>"Not Mandatory"</formula>
    </cfRule>
    <cfRule type="cellIs" dxfId="266" priority="67" operator="equal">
      <formula>"Recommended"</formula>
    </cfRule>
  </conditionalFormatting>
  <conditionalFormatting sqref="G86">
    <cfRule type="cellIs" dxfId="265" priority="64" operator="equal">
      <formula>"Not Mandatory"</formula>
    </cfRule>
    <cfRule type="cellIs" dxfId="264" priority="65" operator="equal">
      <formula>"Recommended"</formula>
    </cfRule>
  </conditionalFormatting>
  <conditionalFormatting sqref="G86">
    <cfRule type="cellIs" dxfId="263" priority="62" operator="equal">
      <formula>"Not Mandatory"</formula>
    </cfRule>
    <cfRule type="cellIs" dxfId="262" priority="63" operator="equal">
      <formula>"Recommended"</formula>
    </cfRule>
  </conditionalFormatting>
  <conditionalFormatting sqref="G9:G13">
    <cfRule type="cellIs" dxfId="261" priority="61" operator="equal">
      <formula>"Mandatory"</formula>
    </cfRule>
  </conditionalFormatting>
  <conditionalFormatting sqref="G9:G13">
    <cfRule type="cellIs" dxfId="260" priority="59" operator="equal">
      <formula>"Not Mandatory"</formula>
    </cfRule>
    <cfRule type="cellIs" dxfId="259" priority="60" operator="equal">
      <formula>"Recommended"</formula>
    </cfRule>
  </conditionalFormatting>
  <conditionalFormatting sqref="G31:G33">
    <cfRule type="cellIs" dxfId="258" priority="58" operator="equal">
      <formula>"Mandatory"</formula>
    </cfRule>
  </conditionalFormatting>
  <conditionalFormatting sqref="G31:G33">
    <cfRule type="cellIs" dxfId="257" priority="56" operator="equal">
      <formula>"Not Mandatory"</formula>
    </cfRule>
    <cfRule type="cellIs" dxfId="256" priority="57" operator="equal">
      <formula>"Recommended"</formula>
    </cfRule>
  </conditionalFormatting>
  <conditionalFormatting sqref="G31:G33">
    <cfRule type="cellIs" dxfId="255" priority="54" operator="equal">
      <formula>"Not Mandatory"</formula>
    </cfRule>
    <cfRule type="cellIs" dxfId="254" priority="55" operator="equal">
      <formula>"Recommended"</formula>
    </cfRule>
  </conditionalFormatting>
  <conditionalFormatting sqref="G31:G33">
    <cfRule type="cellIs" dxfId="253" priority="52" operator="equal">
      <formula>"Not Mandatory"</formula>
    </cfRule>
    <cfRule type="cellIs" dxfId="252" priority="53" operator="equal">
      <formula>"Recommended"</formula>
    </cfRule>
  </conditionalFormatting>
  <conditionalFormatting sqref="G41">
    <cfRule type="cellIs" dxfId="251" priority="51" operator="equal">
      <formula>"Mandatory"</formula>
    </cfRule>
  </conditionalFormatting>
  <conditionalFormatting sqref="G41">
    <cfRule type="cellIs" dxfId="250" priority="49" operator="equal">
      <formula>"Not Mandatory"</formula>
    </cfRule>
    <cfRule type="cellIs" dxfId="249" priority="50" operator="equal">
      <formula>"Recommended"</formula>
    </cfRule>
  </conditionalFormatting>
  <conditionalFormatting sqref="G41">
    <cfRule type="cellIs" dxfId="248" priority="47" operator="equal">
      <formula>"Not Mandatory"</formula>
    </cfRule>
    <cfRule type="cellIs" dxfId="247" priority="48" operator="equal">
      <formula>"Recommended"</formula>
    </cfRule>
  </conditionalFormatting>
  <conditionalFormatting sqref="G41">
    <cfRule type="cellIs" dxfId="246" priority="45" operator="equal">
      <formula>"Not Mandatory"</formula>
    </cfRule>
    <cfRule type="cellIs" dxfId="245" priority="46" operator="equal">
      <formula>"Recommended"</formula>
    </cfRule>
  </conditionalFormatting>
  <conditionalFormatting sqref="G90">
    <cfRule type="cellIs" dxfId="244" priority="44" operator="equal">
      <formula>"Mandatory"</formula>
    </cfRule>
  </conditionalFormatting>
  <conditionalFormatting sqref="G90">
    <cfRule type="cellIs" dxfId="243" priority="42" operator="equal">
      <formula>"Not Mandatory"</formula>
    </cfRule>
    <cfRule type="cellIs" dxfId="242" priority="43" operator="equal">
      <formula>"Recommended"</formula>
    </cfRule>
  </conditionalFormatting>
  <conditionalFormatting sqref="G122">
    <cfRule type="cellIs" dxfId="241" priority="41" operator="equal">
      <formula>"Mandatory"</formula>
    </cfRule>
  </conditionalFormatting>
  <conditionalFormatting sqref="G122">
    <cfRule type="cellIs" dxfId="240" priority="39" operator="equal">
      <formula>"Not Mandatory"</formula>
    </cfRule>
    <cfRule type="cellIs" dxfId="239" priority="40" operator="equal">
      <formula>"Recommended"</formula>
    </cfRule>
  </conditionalFormatting>
  <conditionalFormatting sqref="G119">
    <cfRule type="cellIs" dxfId="238" priority="38" operator="equal">
      <formula>"Mandatory"</formula>
    </cfRule>
  </conditionalFormatting>
  <conditionalFormatting sqref="G119">
    <cfRule type="cellIs" dxfId="237" priority="36" operator="equal">
      <formula>"Not Mandatory"</formula>
    </cfRule>
    <cfRule type="cellIs" dxfId="236" priority="37" operator="equal">
      <formula>"Recommended"</formula>
    </cfRule>
  </conditionalFormatting>
  <conditionalFormatting sqref="G109">
    <cfRule type="cellIs" dxfId="235" priority="35" operator="equal">
      <formula>"Mandatory"</formula>
    </cfRule>
  </conditionalFormatting>
  <conditionalFormatting sqref="G109">
    <cfRule type="cellIs" dxfId="234" priority="33" operator="equal">
      <formula>"Not Mandatory"</formula>
    </cfRule>
    <cfRule type="cellIs" dxfId="233" priority="34" operator="equal">
      <formula>"Recommended"</formula>
    </cfRule>
  </conditionalFormatting>
  <conditionalFormatting sqref="G130">
    <cfRule type="cellIs" dxfId="232" priority="32" operator="equal">
      <formula>"Mandatory"</formula>
    </cfRule>
  </conditionalFormatting>
  <conditionalFormatting sqref="G130">
    <cfRule type="cellIs" dxfId="231" priority="30" operator="equal">
      <formula>"Not Mandatory"</formula>
    </cfRule>
    <cfRule type="cellIs" dxfId="230" priority="31" operator="equal">
      <formula>"Recommended"</formula>
    </cfRule>
  </conditionalFormatting>
  <conditionalFormatting sqref="G125">
    <cfRule type="cellIs" dxfId="229" priority="29" operator="equal">
      <formula>"Mandatory"</formula>
    </cfRule>
  </conditionalFormatting>
  <conditionalFormatting sqref="G125">
    <cfRule type="cellIs" dxfId="228" priority="27" operator="equal">
      <formula>"Not Mandatory"</formula>
    </cfRule>
    <cfRule type="cellIs" dxfId="227" priority="28" operator="equal">
      <formula>"Recommended"</formula>
    </cfRule>
  </conditionalFormatting>
  <conditionalFormatting sqref="G127:G129">
    <cfRule type="cellIs" dxfId="226" priority="26" operator="equal">
      <formula>"Mandatory"</formula>
    </cfRule>
  </conditionalFormatting>
  <conditionalFormatting sqref="G127:G129">
    <cfRule type="cellIs" dxfId="225" priority="24" operator="equal">
      <formula>"Not Mandatory"</formula>
    </cfRule>
    <cfRule type="cellIs" dxfId="224" priority="25" operator="equal">
      <formula>"Recommended"</formula>
    </cfRule>
  </conditionalFormatting>
  <conditionalFormatting sqref="G135:G136">
    <cfRule type="cellIs" dxfId="223" priority="23" operator="equal">
      <formula>"Mandatory"</formula>
    </cfRule>
  </conditionalFormatting>
  <conditionalFormatting sqref="G135:G136">
    <cfRule type="cellIs" dxfId="222" priority="21" operator="equal">
      <formula>"Not Mandatory"</formula>
    </cfRule>
    <cfRule type="cellIs" dxfId="221" priority="22" operator="equal">
      <formula>"Recommended"</formula>
    </cfRule>
  </conditionalFormatting>
  <conditionalFormatting sqref="G154">
    <cfRule type="cellIs" dxfId="220" priority="20" operator="equal">
      <formula>"Mandatory"</formula>
    </cfRule>
  </conditionalFormatting>
  <conditionalFormatting sqref="G154">
    <cfRule type="cellIs" dxfId="219" priority="18" operator="equal">
      <formula>"Not Mandatory"</formula>
    </cfRule>
    <cfRule type="cellIs" dxfId="218" priority="19" operator="equal">
      <formula>"Recommended"</formula>
    </cfRule>
  </conditionalFormatting>
  <conditionalFormatting sqref="G162">
    <cfRule type="cellIs" dxfId="217" priority="17" operator="equal">
      <formula>"Mandatory"</formula>
    </cfRule>
  </conditionalFormatting>
  <conditionalFormatting sqref="G162">
    <cfRule type="cellIs" dxfId="216" priority="15" operator="equal">
      <formula>"Not Mandatory"</formula>
    </cfRule>
    <cfRule type="cellIs" dxfId="215" priority="16" operator="equal">
      <formula>"Recommended"</formula>
    </cfRule>
  </conditionalFormatting>
  <conditionalFormatting sqref="G66">
    <cfRule type="cellIs" dxfId="214" priority="14" operator="equal">
      <formula>"Mandatory"</formula>
    </cfRule>
  </conditionalFormatting>
  <conditionalFormatting sqref="G66">
    <cfRule type="cellIs" dxfId="213" priority="12" operator="equal">
      <formula>"Not Mandatory"</formula>
    </cfRule>
    <cfRule type="cellIs" dxfId="212" priority="13" operator="equal">
      <formula>"Recommended"</formula>
    </cfRule>
  </conditionalFormatting>
  <conditionalFormatting sqref="G66">
    <cfRule type="cellIs" dxfId="211" priority="10" operator="equal">
      <formula>"Not Mandatory"</formula>
    </cfRule>
    <cfRule type="cellIs" dxfId="210" priority="11" operator="equal">
      <formula>"Recommended"</formula>
    </cfRule>
  </conditionalFormatting>
  <conditionalFormatting sqref="G66">
    <cfRule type="cellIs" dxfId="209" priority="8" operator="equal">
      <formula>"Not Mandatory"</formula>
    </cfRule>
    <cfRule type="cellIs" dxfId="208" priority="9" operator="equal">
      <formula>"Recommended"</formula>
    </cfRule>
  </conditionalFormatting>
  <conditionalFormatting sqref="G39">
    <cfRule type="cellIs" dxfId="207" priority="7" operator="equal">
      <formula>"Mandatory"</formula>
    </cfRule>
  </conditionalFormatting>
  <conditionalFormatting sqref="G39">
    <cfRule type="cellIs" dxfId="206" priority="5" operator="equal">
      <formula>"Not Mandatory"</formula>
    </cfRule>
    <cfRule type="cellIs" dxfId="205" priority="6" operator="equal">
      <formula>"Recommended"</formula>
    </cfRule>
  </conditionalFormatting>
  <conditionalFormatting sqref="G39">
    <cfRule type="cellIs" dxfId="204" priority="3" operator="equal">
      <formula>"Not Mandatory"</formula>
    </cfRule>
    <cfRule type="cellIs" dxfId="203" priority="4" operator="equal">
      <formula>"Recommended"</formula>
    </cfRule>
  </conditionalFormatting>
  <conditionalFormatting sqref="G39">
    <cfRule type="cellIs" dxfId="202" priority="1" operator="equal">
      <formula>"Not Mandatory"</formula>
    </cfRule>
    <cfRule type="cellIs" dxfId="201" priority="2" operator="equal">
      <formula>"Recommended"</formula>
    </cfRule>
  </conditionalFormatting>
  <dataValidations count="1">
    <dataValidation type="list" allowBlank="1" showInputMessage="1" showErrorMessage="1" sqref="F4:F213" xr:uid="{D0E98538-5334-44DA-A4DF-0C20CFBBFEF3}">
      <formula1>$F$1:$F$2</formula1>
    </dataValidation>
  </dataValidations>
  <pageMargins left="0.7" right="0.7" top="0.75" bottom="0.75" header="0.3" footer="0.3"/>
  <pageSetup paperSize="66" scale="3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80EA-1ACC-49FF-9563-16F7C7BB255F}">
  <sheetPr codeName="Sheet12">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44978.386770833335</v>
      </c>
      <c r="H4" s="162"/>
      <c r="J4" s="2" t="b">
        <f>EXACT(G4,'Vh5205_C-78'!G4)</f>
        <v>0</v>
      </c>
    </row>
    <row r="5" spans="1:10" x14ac:dyDescent="0.35">
      <c r="A5" s="90">
        <v>2</v>
      </c>
      <c r="B5" s="10" t="s">
        <v>685</v>
      </c>
      <c r="C5" s="10" t="s">
        <v>55</v>
      </c>
      <c r="D5" s="146"/>
      <c r="E5" s="146"/>
      <c r="F5" s="19" t="s">
        <v>26</v>
      </c>
      <c r="G5" s="202">
        <v>44981.403437500005</v>
      </c>
      <c r="H5" s="58"/>
      <c r="J5" s="2" t="b">
        <f>EXACT(G5,'Vh5205_C-78'!G5)</f>
        <v>0</v>
      </c>
    </row>
    <row r="6" spans="1:10" x14ac:dyDescent="0.35">
      <c r="A6" s="90">
        <v>3</v>
      </c>
      <c r="B6" s="146" t="s">
        <v>685</v>
      </c>
      <c r="C6" s="146" t="s">
        <v>41</v>
      </c>
      <c r="D6" s="146"/>
      <c r="E6" s="146"/>
      <c r="F6" s="19" t="s">
        <v>26</v>
      </c>
      <c r="G6" s="161" t="s">
        <v>518</v>
      </c>
      <c r="H6" s="58"/>
      <c r="J6" s="2" t="b">
        <f>EXACT(G6,'Vh5205_C-78'!G6)</f>
        <v>0</v>
      </c>
    </row>
    <row r="7" spans="1:10" x14ac:dyDescent="0.35">
      <c r="A7" s="90">
        <v>4</v>
      </c>
      <c r="B7" s="146" t="s">
        <v>685</v>
      </c>
      <c r="C7" s="146" t="s">
        <v>7</v>
      </c>
      <c r="D7" s="146"/>
      <c r="E7" s="146"/>
      <c r="F7" s="19" t="s">
        <v>79</v>
      </c>
      <c r="G7" s="192" t="s">
        <v>499</v>
      </c>
      <c r="H7" s="53" t="s">
        <v>652</v>
      </c>
      <c r="J7" s="176" t="b">
        <f>EXACT(G7,'Vh5205_C-78'!G7)</f>
        <v>1</v>
      </c>
    </row>
    <row r="8" spans="1:10" x14ac:dyDescent="0.35">
      <c r="A8" s="90">
        <v>5</v>
      </c>
      <c r="B8" s="87" t="s">
        <v>685</v>
      </c>
      <c r="C8" s="87" t="s">
        <v>39</v>
      </c>
      <c r="D8" s="87"/>
      <c r="E8" s="87"/>
      <c r="F8" s="22" t="s">
        <v>79</v>
      </c>
      <c r="G8" s="194" t="s">
        <v>524</v>
      </c>
      <c r="H8" s="181" t="s">
        <v>652</v>
      </c>
      <c r="J8" s="176" t="b">
        <f>EXACT(G8,'Vh5205_C-78'!G8)</f>
        <v>1</v>
      </c>
    </row>
    <row r="9" spans="1:10" x14ac:dyDescent="0.35">
      <c r="A9" s="90">
        <v>6</v>
      </c>
      <c r="B9" s="10" t="s">
        <v>686</v>
      </c>
      <c r="C9" s="10" t="s">
        <v>301</v>
      </c>
      <c r="D9" s="10"/>
      <c r="E9" s="10"/>
      <c r="F9" s="19" t="s">
        <v>26</v>
      </c>
      <c r="G9" s="192" t="s">
        <v>196</v>
      </c>
      <c r="H9" s="163" t="s">
        <v>652</v>
      </c>
      <c r="J9" s="176" t="b">
        <f>EXACT(G9,'Vh5205_C-78'!G9)</f>
        <v>1</v>
      </c>
    </row>
    <row r="10" spans="1:10" x14ac:dyDescent="0.35">
      <c r="A10" s="90">
        <v>7</v>
      </c>
      <c r="B10" s="10" t="s">
        <v>686</v>
      </c>
      <c r="C10" s="10" t="s">
        <v>302</v>
      </c>
      <c r="D10" s="94"/>
      <c r="E10" s="146"/>
      <c r="F10" s="19" t="s">
        <v>26</v>
      </c>
      <c r="G10" s="161" t="s">
        <v>523</v>
      </c>
      <c r="H10" s="140" t="s">
        <v>652</v>
      </c>
      <c r="J10" s="176" t="b">
        <f>EXACT(G10,'Vh5205_C-78'!G10)</f>
        <v>1</v>
      </c>
    </row>
    <row r="11" spans="1:10" x14ac:dyDescent="0.35">
      <c r="A11" s="90">
        <v>8</v>
      </c>
      <c r="B11" s="146" t="s">
        <v>686</v>
      </c>
      <c r="C11" s="146" t="s">
        <v>134</v>
      </c>
      <c r="D11" s="146" t="s">
        <v>15</v>
      </c>
      <c r="E11" s="146" t="s">
        <v>85</v>
      </c>
      <c r="F11" s="19" t="s">
        <v>26</v>
      </c>
      <c r="G11" s="192" t="s">
        <v>197</v>
      </c>
      <c r="H11" s="53" t="s">
        <v>652</v>
      </c>
      <c r="J11" s="176" t="b">
        <f>EXACT(G11,'Vh5205_C-78'!G11)</f>
        <v>1</v>
      </c>
    </row>
    <row r="12" spans="1:10" x14ac:dyDescent="0.35">
      <c r="A12" s="90">
        <v>9</v>
      </c>
      <c r="B12" s="10" t="s">
        <v>686</v>
      </c>
      <c r="C12" s="10" t="s">
        <v>310</v>
      </c>
      <c r="D12" s="146"/>
      <c r="E12" s="146"/>
      <c r="F12" s="19" t="s">
        <v>26</v>
      </c>
      <c r="G12" s="192" t="s">
        <v>198</v>
      </c>
      <c r="H12" s="53" t="s">
        <v>652</v>
      </c>
      <c r="J12" s="176" t="b">
        <f>EXACT(G12,'Vh5205_C-78'!G12)</f>
        <v>1</v>
      </c>
    </row>
    <row r="13" spans="1:10" x14ac:dyDescent="0.35">
      <c r="A13" s="90">
        <v>10</v>
      </c>
      <c r="B13" s="10" t="s">
        <v>686</v>
      </c>
      <c r="C13" s="10" t="s">
        <v>311</v>
      </c>
      <c r="D13" s="146"/>
      <c r="E13" s="146"/>
      <c r="F13" s="19" t="s">
        <v>26</v>
      </c>
      <c r="G13" s="192" t="s">
        <v>199</v>
      </c>
      <c r="H13" s="53" t="s">
        <v>652</v>
      </c>
      <c r="J13" s="176" t="b">
        <f>EXACT(G13,'Vh5205_C-78'!G13)</f>
        <v>1</v>
      </c>
    </row>
    <row r="14" spans="1:10" ht="17.5" x14ac:dyDescent="0.35">
      <c r="A14" s="90">
        <v>11</v>
      </c>
      <c r="B14" s="10" t="s">
        <v>686</v>
      </c>
      <c r="C14" s="10" t="s">
        <v>123</v>
      </c>
      <c r="D14" s="146" t="s">
        <v>557</v>
      </c>
      <c r="E14" s="146" t="s">
        <v>4</v>
      </c>
      <c r="F14" s="19" t="s">
        <v>26</v>
      </c>
      <c r="G14" s="161">
        <v>230</v>
      </c>
      <c r="H14" s="140"/>
      <c r="J14" s="1" t="b">
        <f>EXACT(G14,'Vh5205_C-78'!G14)</f>
        <v>1</v>
      </c>
    </row>
    <row r="15" spans="1:10" x14ac:dyDescent="0.35">
      <c r="A15" s="90">
        <v>12</v>
      </c>
      <c r="B15" s="146" t="s">
        <v>686</v>
      </c>
      <c r="C15" s="146" t="s">
        <v>116</v>
      </c>
      <c r="D15" s="146"/>
      <c r="E15" s="146"/>
      <c r="F15" s="19" t="s">
        <v>26</v>
      </c>
      <c r="G15" s="161" t="s">
        <v>684</v>
      </c>
      <c r="H15" s="53" t="s">
        <v>652</v>
      </c>
      <c r="J15" s="176" t="b">
        <f>EXACT(G15,'Vh5205_C-78'!G15)</f>
        <v>1</v>
      </c>
    </row>
    <row r="16" spans="1:10" x14ac:dyDescent="0.35">
      <c r="A16" s="90">
        <v>13</v>
      </c>
      <c r="B16" s="10" t="s">
        <v>686</v>
      </c>
      <c r="C16" s="10" t="s">
        <v>408</v>
      </c>
      <c r="D16" s="146"/>
      <c r="E16" s="146"/>
      <c r="F16" s="19" t="s">
        <v>26</v>
      </c>
      <c r="G16" s="161" t="s">
        <v>519</v>
      </c>
      <c r="H16" s="140"/>
      <c r="J16" s="1" t="b">
        <f>EXACT(G16,'Vh5205_C-78'!G16)</f>
        <v>1</v>
      </c>
    </row>
    <row r="17" spans="1:10" x14ac:dyDescent="0.35">
      <c r="A17" s="90">
        <v>14</v>
      </c>
      <c r="B17" s="10" t="s">
        <v>686</v>
      </c>
      <c r="C17" s="10" t="s">
        <v>409</v>
      </c>
      <c r="D17" s="146"/>
      <c r="E17" s="146"/>
      <c r="F17" s="19" t="s">
        <v>26</v>
      </c>
      <c r="G17" s="161" t="s">
        <v>524</v>
      </c>
      <c r="H17" s="140"/>
      <c r="J17" s="1" t="b">
        <f>EXACT(G17,'Vh5205_C-78'!G17)</f>
        <v>1</v>
      </c>
    </row>
    <row r="18" spans="1:10" s="7" customFormat="1" x14ac:dyDescent="0.35">
      <c r="A18" s="90">
        <v>15</v>
      </c>
      <c r="B18" s="146" t="s">
        <v>686</v>
      </c>
      <c r="C18" s="146" t="s">
        <v>177</v>
      </c>
      <c r="D18" s="146"/>
      <c r="E18" s="146"/>
      <c r="F18" s="19" t="s">
        <v>26</v>
      </c>
      <c r="G18" s="161" t="s">
        <v>524</v>
      </c>
      <c r="H18" s="177"/>
      <c r="J18" s="1" t="b">
        <f>EXACT(G18,'Vh5205_C-78'!G18)</f>
        <v>1</v>
      </c>
    </row>
    <row r="19" spans="1:10" x14ac:dyDescent="0.35">
      <c r="A19" s="90">
        <v>16</v>
      </c>
      <c r="B19" s="10" t="s">
        <v>686</v>
      </c>
      <c r="C19" s="10" t="s">
        <v>124</v>
      </c>
      <c r="D19" s="146"/>
      <c r="E19" s="146" t="s">
        <v>0</v>
      </c>
      <c r="F19" s="19" t="s">
        <v>79</v>
      </c>
      <c r="G19" s="203"/>
      <c r="H19" s="140"/>
      <c r="J19" s="1" t="b">
        <f>EXACT(G19,'Vh5205_C-78'!G19)</f>
        <v>1</v>
      </c>
    </row>
    <row r="20" spans="1:10" x14ac:dyDescent="0.35">
      <c r="A20" s="90">
        <v>17</v>
      </c>
      <c r="B20" s="10" t="s">
        <v>686</v>
      </c>
      <c r="C20" s="10" t="s">
        <v>188</v>
      </c>
      <c r="D20" s="146"/>
      <c r="E20" s="146" t="s">
        <v>0</v>
      </c>
      <c r="F20" s="19" t="s">
        <v>26</v>
      </c>
      <c r="G20" s="193" t="s">
        <v>618</v>
      </c>
      <c r="H20" s="140" t="s">
        <v>652</v>
      </c>
      <c r="J20" s="176" t="b">
        <f>EXACT(G20,'Vh5205_C-78'!G20)</f>
        <v>1</v>
      </c>
    </row>
    <row r="21" spans="1:10" x14ac:dyDescent="0.35">
      <c r="A21" s="90">
        <v>18</v>
      </c>
      <c r="B21" s="13" t="s">
        <v>686</v>
      </c>
      <c r="C21" s="13" t="s">
        <v>131</v>
      </c>
      <c r="D21" s="87"/>
      <c r="E21" s="87"/>
      <c r="F21" s="22" t="s">
        <v>79</v>
      </c>
      <c r="G21" s="196"/>
      <c r="H21" s="182"/>
      <c r="J21" s="1" t="b">
        <f>EXACT(G21,'Vh5205_C-78'!G21)</f>
        <v>1</v>
      </c>
    </row>
    <row r="22" spans="1:10" x14ac:dyDescent="0.35">
      <c r="A22" s="90">
        <v>19</v>
      </c>
      <c r="B22" s="146" t="s">
        <v>687</v>
      </c>
      <c r="C22" s="146" t="s">
        <v>65</v>
      </c>
      <c r="D22" s="146"/>
      <c r="E22" s="146"/>
      <c r="F22" s="19" t="s">
        <v>79</v>
      </c>
      <c r="G22" s="192" t="s">
        <v>48</v>
      </c>
      <c r="H22" s="53" t="s">
        <v>652</v>
      </c>
      <c r="J22" s="176" t="b">
        <f>EXACT(G22,'Vh5205_C-78'!G22)</f>
        <v>1</v>
      </c>
    </row>
    <row r="23" spans="1:10" x14ac:dyDescent="0.35">
      <c r="A23" s="90">
        <v>20</v>
      </c>
      <c r="B23" s="146" t="s">
        <v>687</v>
      </c>
      <c r="C23" s="146" t="s">
        <v>69</v>
      </c>
      <c r="D23" s="146"/>
      <c r="E23" s="146"/>
      <c r="F23" s="19" t="s">
        <v>79</v>
      </c>
      <c r="G23" s="161"/>
      <c r="H23" s="140"/>
      <c r="J23" s="1" t="b">
        <f>EXACT(G23,'Vh5205_C-78'!G23)</f>
        <v>1</v>
      </c>
    </row>
    <row r="24" spans="1:10" x14ac:dyDescent="0.35">
      <c r="A24" s="90">
        <v>21</v>
      </c>
      <c r="B24" s="146" t="s">
        <v>687</v>
      </c>
      <c r="C24" s="146" t="s">
        <v>70</v>
      </c>
      <c r="D24" s="146"/>
      <c r="E24" s="146"/>
      <c r="F24" s="19" t="s">
        <v>79</v>
      </c>
      <c r="G24" s="161"/>
      <c r="H24" s="140"/>
      <c r="J24" s="1" t="b">
        <f>EXACT(G24,'Vh5205_C-78'!G24)</f>
        <v>1</v>
      </c>
    </row>
    <row r="25" spans="1:10" x14ac:dyDescent="0.35">
      <c r="A25" s="90">
        <v>22</v>
      </c>
      <c r="B25" s="146" t="s">
        <v>687</v>
      </c>
      <c r="C25" s="146" t="s">
        <v>71</v>
      </c>
      <c r="D25" s="146"/>
      <c r="E25" s="146"/>
      <c r="F25" s="19" t="s">
        <v>79</v>
      </c>
      <c r="G25" s="161"/>
      <c r="H25" s="140"/>
      <c r="J25" s="1" t="b">
        <f>EXACT(G25,'Vh5205_C-78'!G25)</f>
        <v>1</v>
      </c>
    </row>
    <row r="26" spans="1:10" x14ac:dyDescent="0.35">
      <c r="A26" s="90">
        <v>23</v>
      </c>
      <c r="B26" s="146" t="s">
        <v>687</v>
      </c>
      <c r="C26" s="146" t="s">
        <v>72</v>
      </c>
      <c r="D26" s="146"/>
      <c r="E26" s="146"/>
      <c r="F26" s="19" t="s">
        <v>79</v>
      </c>
      <c r="G26" s="161"/>
      <c r="H26" s="140"/>
      <c r="J26" s="1" t="b">
        <f>EXACT(G26,'Vh5205_C-78'!G26)</f>
        <v>1</v>
      </c>
    </row>
    <row r="27" spans="1:10" x14ac:dyDescent="0.35">
      <c r="A27" s="90">
        <v>24</v>
      </c>
      <c r="B27" s="146" t="s">
        <v>687</v>
      </c>
      <c r="C27" s="146" t="s">
        <v>81</v>
      </c>
      <c r="D27" s="146"/>
      <c r="E27" s="146"/>
      <c r="F27" s="19" t="s">
        <v>79</v>
      </c>
      <c r="G27" s="161"/>
      <c r="H27" s="140"/>
      <c r="J27" s="1" t="b">
        <f>EXACT(G27,'Vh5205_C-78'!G27)</f>
        <v>1</v>
      </c>
    </row>
    <row r="28" spans="1:10" x14ac:dyDescent="0.35">
      <c r="A28" s="90">
        <v>25</v>
      </c>
      <c r="B28" s="146" t="s">
        <v>687</v>
      </c>
      <c r="C28" s="146" t="s">
        <v>82</v>
      </c>
      <c r="D28" s="146"/>
      <c r="E28" s="146"/>
      <c r="F28" s="22" t="s">
        <v>79</v>
      </c>
      <c r="G28" s="196"/>
      <c r="H28" s="182"/>
      <c r="J28" s="1" t="b">
        <f>EXACT(G28,'Vh5205_C-78'!G28)</f>
        <v>1</v>
      </c>
    </row>
    <row r="29" spans="1:10" x14ac:dyDescent="0.35">
      <c r="A29" s="90">
        <v>26</v>
      </c>
      <c r="B29" s="99" t="s">
        <v>688</v>
      </c>
      <c r="C29" s="99" t="s">
        <v>312</v>
      </c>
      <c r="D29" s="100"/>
      <c r="E29" s="100"/>
      <c r="F29" s="18" t="s">
        <v>26</v>
      </c>
      <c r="G29" s="196" t="s">
        <v>200</v>
      </c>
      <c r="H29" s="182" t="s">
        <v>652</v>
      </c>
      <c r="J29" s="176" t="b">
        <f>EXACT(G29,'Vh5205_C-78'!G29)</f>
        <v>1</v>
      </c>
    </row>
    <row r="30" spans="1:10" x14ac:dyDescent="0.35">
      <c r="A30" s="90">
        <v>27</v>
      </c>
      <c r="B30" s="102" t="s">
        <v>689</v>
      </c>
      <c r="C30" s="102" t="s">
        <v>147</v>
      </c>
      <c r="D30" s="100"/>
      <c r="E30" s="100"/>
      <c r="F30" s="18" t="s">
        <v>79</v>
      </c>
      <c r="G30" s="161"/>
      <c r="H30" s="140"/>
      <c r="J30" s="1" t="b">
        <f>EXACT(G30,'Vh5205_C-78'!G30)</f>
        <v>1</v>
      </c>
    </row>
    <row r="31" spans="1:10" s="7" customFormat="1" ht="31" x14ac:dyDescent="0.35">
      <c r="A31" s="90">
        <v>28</v>
      </c>
      <c r="B31" s="10" t="s">
        <v>689</v>
      </c>
      <c r="C31" s="10" t="s">
        <v>324</v>
      </c>
      <c r="D31" s="146"/>
      <c r="E31" s="10"/>
      <c r="F31" s="19" t="s">
        <v>26</v>
      </c>
      <c r="G31" s="161" t="s">
        <v>460</v>
      </c>
      <c r="H31" s="177" t="s">
        <v>652</v>
      </c>
      <c r="J31" s="176" t="b">
        <f>EXACT(G31,'Vh5205_C-78'!G31)</f>
        <v>1</v>
      </c>
    </row>
    <row r="32" spans="1:10" s="7" customFormat="1" x14ac:dyDescent="0.35">
      <c r="A32" s="90">
        <v>29</v>
      </c>
      <c r="B32" s="10" t="s">
        <v>689</v>
      </c>
      <c r="C32" s="10" t="s">
        <v>303</v>
      </c>
      <c r="D32" s="146"/>
      <c r="E32" s="10"/>
      <c r="F32" s="19" t="s">
        <v>26</v>
      </c>
      <c r="G32" s="161" t="s">
        <v>461</v>
      </c>
      <c r="H32" s="177" t="s">
        <v>652</v>
      </c>
      <c r="J32" s="176" t="b">
        <f>EXACT(G32,'Vh5205_C-78'!G32)</f>
        <v>1</v>
      </c>
    </row>
    <row r="33" spans="1:10" ht="31" x14ac:dyDescent="0.35">
      <c r="A33" s="90">
        <v>30</v>
      </c>
      <c r="B33" s="10" t="s">
        <v>689</v>
      </c>
      <c r="C33" s="10" t="s">
        <v>304</v>
      </c>
      <c r="D33" s="146"/>
      <c r="E33" s="146"/>
      <c r="F33" s="19" t="s">
        <v>79</v>
      </c>
      <c r="G33" s="161" t="s">
        <v>285</v>
      </c>
      <c r="H33" s="140" t="s">
        <v>652</v>
      </c>
      <c r="J33" s="176" t="b">
        <f>EXACT(G33,'Vh5205_C-78'!G33)</f>
        <v>1</v>
      </c>
    </row>
    <row r="34" spans="1:10" x14ac:dyDescent="0.35">
      <c r="A34" s="90">
        <v>31</v>
      </c>
      <c r="B34" s="10" t="s">
        <v>689</v>
      </c>
      <c r="C34" s="10" t="s">
        <v>83</v>
      </c>
      <c r="D34" s="146"/>
      <c r="E34" s="146" t="s">
        <v>85</v>
      </c>
      <c r="F34" s="19" t="s">
        <v>79</v>
      </c>
      <c r="G34" s="192"/>
      <c r="H34" s="140"/>
      <c r="J34" s="1" t="b">
        <f>EXACT(G34,'Vh5205_C-78'!G34)</f>
        <v>1</v>
      </c>
    </row>
    <row r="35" spans="1:10" x14ac:dyDescent="0.35">
      <c r="A35" s="90">
        <v>32</v>
      </c>
      <c r="B35" s="10" t="s">
        <v>689</v>
      </c>
      <c r="C35" s="10" t="s">
        <v>84</v>
      </c>
      <c r="D35" s="146"/>
      <c r="E35" s="146"/>
      <c r="F35" s="19" t="s">
        <v>79</v>
      </c>
      <c r="G35" s="192"/>
      <c r="H35" s="140"/>
      <c r="J35" s="1" t="b">
        <f>EXACT(G35,'Vh5205_C-78'!G35)</f>
        <v>1</v>
      </c>
    </row>
    <row r="36" spans="1:10" x14ac:dyDescent="0.35">
      <c r="A36" s="90">
        <v>33</v>
      </c>
      <c r="B36" s="10" t="s">
        <v>689</v>
      </c>
      <c r="C36" s="10" t="s">
        <v>61</v>
      </c>
      <c r="D36" s="146"/>
      <c r="E36" s="146"/>
      <c r="F36" s="19" t="s">
        <v>26</v>
      </c>
      <c r="G36" s="192" t="s">
        <v>611</v>
      </c>
      <c r="H36" s="140" t="s">
        <v>652</v>
      </c>
      <c r="J36" s="176" t="b">
        <f>EXACT(G36,'Vh5205_C-78'!G36)</f>
        <v>1</v>
      </c>
    </row>
    <row r="37" spans="1:10" x14ac:dyDescent="0.35">
      <c r="A37" s="90">
        <v>34</v>
      </c>
      <c r="B37" s="13" t="s">
        <v>689</v>
      </c>
      <c r="C37" s="13" t="s">
        <v>56</v>
      </c>
      <c r="D37" s="146"/>
      <c r="E37" s="146"/>
      <c r="F37" s="22" t="s">
        <v>26</v>
      </c>
      <c r="G37" s="194" t="s">
        <v>201</v>
      </c>
      <c r="H37" s="182" t="s">
        <v>652</v>
      </c>
      <c r="J37" s="176" t="b">
        <f>EXACT(G37,'Vh5205_C-78'!G37)</f>
        <v>1</v>
      </c>
    </row>
    <row r="38" spans="1:10" s="7" customFormat="1" x14ac:dyDescent="0.35">
      <c r="A38" s="90">
        <v>35</v>
      </c>
      <c r="B38" s="10" t="s">
        <v>690</v>
      </c>
      <c r="C38" s="10" t="s">
        <v>77</v>
      </c>
      <c r="D38" s="100"/>
      <c r="E38" s="102"/>
      <c r="F38" s="19" t="s">
        <v>26</v>
      </c>
      <c r="G38" s="161" t="s">
        <v>278</v>
      </c>
      <c r="H38" s="177" t="s">
        <v>652</v>
      </c>
      <c r="J38" s="176" t="b">
        <f>EXACT(G38,'Vh5205_C-78'!G38)</f>
        <v>1</v>
      </c>
    </row>
    <row r="39" spans="1:10" s="7" customFormat="1" ht="60" customHeight="1" x14ac:dyDescent="0.35">
      <c r="A39" s="90">
        <v>36</v>
      </c>
      <c r="B39" s="10" t="s">
        <v>690</v>
      </c>
      <c r="C39" s="10" t="s">
        <v>560</v>
      </c>
      <c r="D39" s="146"/>
      <c r="E39" s="10"/>
      <c r="F39" s="19" t="s">
        <v>26</v>
      </c>
      <c r="G39" s="161" t="s">
        <v>716</v>
      </c>
      <c r="H39" s="177" t="s">
        <v>652</v>
      </c>
      <c r="J39" s="176" t="b">
        <f>EXACT(G39,'Vh5205_C-78'!G39)</f>
        <v>1</v>
      </c>
    </row>
    <row r="40" spans="1:10" s="7" customFormat="1" ht="31" x14ac:dyDescent="0.35">
      <c r="A40" s="90">
        <v>37</v>
      </c>
      <c r="B40" s="10" t="s">
        <v>690</v>
      </c>
      <c r="C40" s="10" t="s">
        <v>305</v>
      </c>
      <c r="D40" s="146"/>
      <c r="E40" s="10"/>
      <c r="F40" s="19" t="s">
        <v>26</v>
      </c>
      <c r="G40" s="161" t="s">
        <v>619</v>
      </c>
      <c r="H40" s="177" t="s">
        <v>652</v>
      </c>
      <c r="J40" s="176" t="b">
        <f>EXACT(G40,'Vh5205_C-78'!G40)</f>
        <v>1</v>
      </c>
    </row>
    <row r="41" spans="1:10" s="7" customFormat="1" x14ac:dyDescent="0.35">
      <c r="A41" s="90">
        <v>38</v>
      </c>
      <c r="B41" s="10" t="s">
        <v>690</v>
      </c>
      <c r="C41" s="10" t="s">
        <v>128</v>
      </c>
      <c r="D41" s="146"/>
      <c r="E41" s="10"/>
      <c r="F41" s="19" t="s">
        <v>26</v>
      </c>
      <c r="G41" s="195">
        <v>35458</v>
      </c>
      <c r="H41" s="177" t="s">
        <v>652</v>
      </c>
      <c r="J41" s="176" t="b">
        <f>EXACT(G41,'Vh5205_C-78'!G41)</f>
        <v>1</v>
      </c>
    </row>
    <row r="42" spans="1:10" s="7" customFormat="1" x14ac:dyDescent="0.35">
      <c r="A42" s="90">
        <v>39</v>
      </c>
      <c r="B42" s="10" t="s">
        <v>690</v>
      </c>
      <c r="C42" s="10" t="s">
        <v>129</v>
      </c>
      <c r="D42" s="146"/>
      <c r="E42" s="10"/>
      <c r="F42" s="19" t="s">
        <v>79</v>
      </c>
      <c r="G42" s="192"/>
      <c r="H42" s="177" t="s">
        <v>652</v>
      </c>
      <c r="J42" s="176" t="b">
        <f>EXACT(G42,'Vh5205_C-78'!G42)</f>
        <v>1</v>
      </c>
    </row>
    <row r="43" spans="1:10" s="7" customFormat="1" x14ac:dyDescent="0.35">
      <c r="A43" s="90">
        <v>40</v>
      </c>
      <c r="B43" s="13" t="s">
        <v>690</v>
      </c>
      <c r="C43" s="13" t="s">
        <v>130</v>
      </c>
      <c r="D43" s="87"/>
      <c r="E43" s="13"/>
      <c r="F43" s="22" t="s">
        <v>79</v>
      </c>
      <c r="G43" s="194"/>
      <c r="H43" s="180" t="s">
        <v>652</v>
      </c>
      <c r="J43" s="176" t="b">
        <f>EXACT(G43,'Vh5205_C-78'!G43)</f>
        <v>1</v>
      </c>
    </row>
    <row r="44" spans="1:10" x14ac:dyDescent="0.35">
      <c r="A44" s="90">
        <v>41</v>
      </c>
      <c r="B44" s="102" t="s">
        <v>691</v>
      </c>
      <c r="C44" s="102" t="s">
        <v>117</v>
      </c>
      <c r="D44" s="100"/>
      <c r="E44" s="100"/>
      <c r="F44" s="18" t="s">
        <v>26</v>
      </c>
      <c r="G44" s="161" t="s">
        <v>462</v>
      </c>
      <c r="H44" s="177" t="s">
        <v>652</v>
      </c>
      <c r="J44" s="176" t="b">
        <f>EXACT(G44,'Vh5205_C-78'!G44)</f>
        <v>1</v>
      </c>
    </row>
    <row r="45" spans="1:10" s="7" customFormat="1" x14ac:dyDescent="0.35">
      <c r="A45" s="90">
        <v>42</v>
      </c>
      <c r="B45" s="10" t="s">
        <v>691</v>
      </c>
      <c r="C45" s="10" t="s">
        <v>87</v>
      </c>
      <c r="D45" s="146"/>
      <c r="E45" s="10"/>
      <c r="F45" s="19" t="s">
        <v>79</v>
      </c>
      <c r="G45" s="192" t="s">
        <v>196</v>
      </c>
      <c r="H45" s="177" t="s">
        <v>652</v>
      </c>
      <c r="J45" s="176" t="b">
        <f>EXACT(G45,'Vh5205_C-78'!G45)</f>
        <v>1</v>
      </c>
    </row>
    <row r="46" spans="1:10" s="7" customFormat="1" x14ac:dyDescent="0.35">
      <c r="A46" s="90">
        <v>43</v>
      </c>
      <c r="B46" s="10" t="s">
        <v>691</v>
      </c>
      <c r="C46" s="10" t="s">
        <v>88</v>
      </c>
      <c r="D46" s="146"/>
      <c r="E46" s="10"/>
      <c r="F46" s="19" t="s">
        <v>79</v>
      </c>
      <c r="G46" s="192" t="s">
        <v>196</v>
      </c>
      <c r="H46" s="177" t="s">
        <v>652</v>
      </c>
      <c r="J46" s="176" t="b">
        <f>EXACT(G46,'Vh5205_C-78'!G46)</f>
        <v>1</v>
      </c>
    </row>
    <row r="47" spans="1:10" s="7" customFormat="1" x14ac:dyDescent="0.35">
      <c r="A47" s="90">
        <v>44</v>
      </c>
      <c r="B47" s="10" t="s">
        <v>691</v>
      </c>
      <c r="C47" s="10" t="s">
        <v>60</v>
      </c>
      <c r="D47" s="146"/>
      <c r="E47" s="10"/>
      <c r="F47" s="19" t="s">
        <v>79</v>
      </c>
      <c r="G47" s="192" t="s">
        <v>500</v>
      </c>
      <c r="H47" s="177" t="s">
        <v>652</v>
      </c>
      <c r="J47" s="176" t="b">
        <f>EXACT(G47,'Vh5205_C-78'!G47)</f>
        <v>1</v>
      </c>
    </row>
    <row r="48" spans="1:10" x14ac:dyDescent="0.35">
      <c r="A48" s="90">
        <v>45</v>
      </c>
      <c r="B48" s="10" t="s">
        <v>691</v>
      </c>
      <c r="C48" s="10" t="s">
        <v>90</v>
      </c>
      <c r="D48" s="146"/>
      <c r="E48" s="146"/>
      <c r="F48" s="19" t="s">
        <v>26</v>
      </c>
      <c r="G48" s="161" t="s">
        <v>649</v>
      </c>
      <c r="H48" s="177" t="s">
        <v>652</v>
      </c>
      <c r="J48" s="176" t="b">
        <f>EXACT(G48,'Vh5205_C-78'!G48)</f>
        <v>1</v>
      </c>
    </row>
    <row r="49" spans="1:10" x14ac:dyDescent="0.35">
      <c r="A49" s="90">
        <v>46</v>
      </c>
      <c r="B49" s="10" t="s">
        <v>691</v>
      </c>
      <c r="C49" s="10" t="s">
        <v>91</v>
      </c>
      <c r="D49" s="146"/>
      <c r="E49" s="146"/>
      <c r="F49" s="19" t="s">
        <v>26</v>
      </c>
      <c r="G49" s="161" t="s">
        <v>649</v>
      </c>
      <c r="H49" s="177" t="s">
        <v>652</v>
      </c>
      <c r="J49" s="176" t="b">
        <f>EXACT(G49,'Vh5205_C-78'!G49)</f>
        <v>1</v>
      </c>
    </row>
    <row r="50" spans="1:10" x14ac:dyDescent="0.35">
      <c r="A50" s="90">
        <v>47</v>
      </c>
      <c r="B50" s="13" t="s">
        <v>691</v>
      </c>
      <c r="C50" s="13" t="s">
        <v>86</v>
      </c>
      <c r="D50" s="87"/>
      <c r="E50" s="87"/>
      <c r="F50" s="22" t="s">
        <v>79</v>
      </c>
      <c r="G50" s="194"/>
      <c r="H50" s="180"/>
      <c r="J50" s="1" t="b">
        <f>EXACT(G50,'Vh5205_C-78'!G50)</f>
        <v>1</v>
      </c>
    </row>
    <row r="51" spans="1:10" s="7" customFormat="1" x14ac:dyDescent="0.35">
      <c r="A51" s="90">
        <v>48</v>
      </c>
      <c r="B51" s="10" t="s">
        <v>692</v>
      </c>
      <c r="C51" s="10" t="s">
        <v>95</v>
      </c>
      <c r="D51" s="146"/>
      <c r="E51" s="10" t="s">
        <v>92</v>
      </c>
      <c r="F51" s="19" t="s">
        <v>26</v>
      </c>
      <c r="G51" s="161" t="s">
        <v>680</v>
      </c>
      <c r="H51" s="177" t="s">
        <v>652</v>
      </c>
      <c r="J51" s="176" t="b">
        <f>EXACT(G51,'Vh5205_C-78'!G51)</f>
        <v>1</v>
      </c>
    </row>
    <row r="52" spans="1:10" s="7" customFormat="1" x14ac:dyDescent="0.35">
      <c r="A52" s="90">
        <v>49</v>
      </c>
      <c r="B52" s="10" t="s">
        <v>692</v>
      </c>
      <c r="C52" s="10" t="s">
        <v>96</v>
      </c>
      <c r="D52" s="146"/>
      <c r="E52" s="10" t="s">
        <v>92</v>
      </c>
      <c r="F52" s="19" t="s">
        <v>26</v>
      </c>
      <c r="G52" s="161" t="s">
        <v>681</v>
      </c>
      <c r="H52" s="177" t="s">
        <v>652</v>
      </c>
      <c r="J52" s="176" t="b">
        <f>EXACT(G52,'Vh5205_C-78'!G52)</f>
        <v>1</v>
      </c>
    </row>
    <row r="53" spans="1:10" s="7" customFormat="1" x14ac:dyDescent="0.35">
      <c r="A53" s="90">
        <v>50</v>
      </c>
      <c r="B53" s="10" t="s">
        <v>692</v>
      </c>
      <c r="C53" s="10" t="s">
        <v>149</v>
      </c>
      <c r="D53" s="146"/>
      <c r="E53" s="10"/>
      <c r="F53" s="19" t="s">
        <v>26</v>
      </c>
      <c r="G53" s="161" t="s">
        <v>681</v>
      </c>
      <c r="H53" s="177" t="s">
        <v>652</v>
      </c>
      <c r="J53" s="176" t="b">
        <f>EXACT(G53,'Vh5205_C-78'!G53)</f>
        <v>1</v>
      </c>
    </row>
    <row r="54" spans="1:10" s="7" customFormat="1" x14ac:dyDescent="0.35">
      <c r="A54" s="90">
        <v>51</v>
      </c>
      <c r="B54" s="10" t="s">
        <v>692</v>
      </c>
      <c r="C54" s="10" t="s">
        <v>148</v>
      </c>
      <c r="D54" s="10"/>
      <c r="E54" s="10"/>
      <c r="F54" s="19" t="s">
        <v>79</v>
      </c>
      <c r="G54" s="161" t="s">
        <v>467</v>
      </c>
      <c r="H54" s="177" t="s">
        <v>652</v>
      </c>
      <c r="J54" s="176" t="b">
        <f>EXACT(G54,'Vh5205_C-78'!G54)</f>
        <v>1</v>
      </c>
    </row>
    <row r="55" spans="1:10" s="7" customFormat="1" x14ac:dyDescent="0.35">
      <c r="A55" s="90">
        <v>52</v>
      </c>
      <c r="B55" s="10" t="s">
        <v>692</v>
      </c>
      <c r="C55" s="10" t="s">
        <v>100</v>
      </c>
      <c r="D55" s="146"/>
      <c r="E55" s="10"/>
      <c r="F55" s="19" t="s">
        <v>79</v>
      </c>
      <c r="G55" s="192"/>
      <c r="H55" s="177"/>
      <c r="J55" s="1" t="b">
        <f>EXACT(G55,'Vh5205_C-78'!G55)</f>
        <v>1</v>
      </c>
    </row>
    <row r="56" spans="1:10" s="7" customFormat="1" x14ac:dyDescent="0.35">
      <c r="A56" s="90">
        <v>53</v>
      </c>
      <c r="B56" s="13" t="s">
        <v>692</v>
      </c>
      <c r="C56" s="13" t="s">
        <v>101</v>
      </c>
      <c r="D56" s="87"/>
      <c r="E56" s="13"/>
      <c r="F56" s="22" t="s">
        <v>79</v>
      </c>
      <c r="G56" s="194"/>
      <c r="H56" s="180"/>
      <c r="J56" s="1" t="b">
        <f>EXACT(G56,'Vh5205_C-78'!G56)</f>
        <v>1</v>
      </c>
    </row>
    <row r="57" spans="1:10" s="7" customFormat="1" x14ac:dyDescent="0.35">
      <c r="A57" s="90">
        <v>54</v>
      </c>
      <c r="B57" s="102" t="s">
        <v>693</v>
      </c>
      <c r="C57" s="102" t="s">
        <v>93</v>
      </c>
      <c r="D57" s="146"/>
      <c r="E57" s="10"/>
      <c r="F57" s="19" t="s">
        <v>26</v>
      </c>
      <c r="G57" s="161" t="s">
        <v>483</v>
      </c>
      <c r="H57" s="177" t="s">
        <v>652</v>
      </c>
      <c r="J57" s="176" t="b">
        <f>EXACT(G57,'Vh5205_C-78'!G57)</f>
        <v>1</v>
      </c>
    </row>
    <row r="58" spans="1:10" s="7" customFormat="1" x14ac:dyDescent="0.35">
      <c r="A58" s="90">
        <v>55</v>
      </c>
      <c r="B58" s="10" t="s">
        <v>693</v>
      </c>
      <c r="C58" s="10" t="s">
        <v>104</v>
      </c>
      <c r="D58" s="146"/>
      <c r="E58" s="10" t="s">
        <v>51</v>
      </c>
      <c r="F58" s="19" t="s">
        <v>26</v>
      </c>
      <c r="G58" s="161" t="s">
        <v>524</v>
      </c>
      <c r="H58" s="177" t="s">
        <v>652</v>
      </c>
      <c r="J58" s="176" t="b">
        <f>EXACT(G58,'Vh5205_C-78'!G58)</f>
        <v>1</v>
      </c>
    </row>
    <row r="59" spans="1:10" s="7" customFormat="1" x14ac:dyDescent="0.35">
      <c r="A59" s="90">
        <v>56</v>
      </c>
      <c r="B59" s="104" t="s">
        <v>693</v>
      </c>
      <c r="C59" s="104" t="s">
        <v>418</v>
      </c>
      <c r="D59" s="104"/>
      <c r="E59" s="104"/>
      <c r="F59" s="19" t="s">
        <v>26</v>
      </c>
      <c r="G59" s="161" t="s">
        <v>524</v>
      </c>
      <c r="H59" s="177" t="s">
        <v>652</v>
      </c>
      <c r="J59" s="176" t="b">
        <f>EXACT(G59,'Vh5205_C-78'!G59)</f>
        <v>1</v>
      </c>
    </row>
    <row r="60" spans="1:10" s="7" customFormat="1" x14ac:dyDescent="0.35">
      <c r="A60" s="90">
        <v>57</v>
      </c>
      <c r="B60" s="10" t="s">
        <v>693</v>
      </c>
      <c r="C60" s="10" t="s">
        <v>103</v>
      </c>
      <c r="D60" s="146"/>
      <c r="E60" s="10"/>
      <c r="F60" s="19" t="s">
        <v>79</v>
      </c>
      <c r="G60" s="161" t="s">
        <v>524</v>
      </c>
      <c r="H60" s="177" t="s">
        <v>652</v>
      </c>
      <c r="J60" s="176" t="b">
        <f>EXACT(G60,'Vh5205_C-78'!G60)</f>
        <v>1</v>
      </c>
    </row>
    <row r="61" spans="1:10" s="7" customFormat="1" x14ac:dyDescent="0.35">
      <c r="A61" s="90">
        <v>58</v>
      </c>
      <c r="B61" s="10" t="s">
        <v>693</v>
      </c>
      <c r="C61" s="10" t="s">
        <v>125</v>
      </c>
      <c r="D61" s="146"/>
      <c r="E61" s="10" t="s">
        <v>1</v>
      </c>
      <c r="F61" s="19" t="s">
        <v>79</v>
      </c>
      <c r="G61" s="161"/>
      <c r="H61" s="177"/>
      <c r="J61" s="2" t="b">
        <f>EXACT(G61,'Vh5205_C-78'!G61)</f>
        <v>1</v>
      </c>
    </row>
    <row r="62" spans="1:10" s="7" customFormat="1" x14ac:dyDescent="0.35">
      <c r="A62" s="90">
        <v>59</v>
      </c>
      <c r="B62" s="10" t="s">
        <v>693</v>
      </c>
      <c r="C62" s="10" t="s">
        <v>62</v>
      </c>
      <c r="D62" s="146"/>
      <c r="E62" s="10" t="s">
        <v>51</v>
      </c>
      <c r="F62" s="19" t="s">
        <v>79</v>
      </c>
      <c r="G62" s="161"/>
      <c r="H62" s="177"/>
      <c r="J62" s="1" t="b">
        <f>EXACT(G62,'Vh5205_C-78'!G62)</f>
        <v>1</v>
      </c>
    </row>
    <row r="63" spans="1:10" s="7" customFormat="1" x14ac:dyDescent="0.35">
      <c r="A63" s="90">
        <v>60</v>
      </c>
      <c r="B63" s="10" t="s">
        <v>693</v>
      </c>
      <c r="C63" s="10" t="s">
        <v>63</v>
      </c>
      <c r="D63" s="146"/>
      <c r="E63" s="10" t="s">
        <v>51</v>
      </c>
      <c r="F63" s="19" t="s">
        <v>79</v>
      </c>
      <c r="G63" s="161"/>
      <c r="H63" s="177"/>
      <c r="J63" s="1" t="b">
        <f>EXACT(G63,'Vh5205_C-78'!G63)</f>
        <v>1</v>
      </c>
    </row>
    <row r="64" spans="1:10" s="7" customFormat="1" x14ac:dyDescent="0.35">
      <c r="A64" s="90">
        <v>61</v>
      </c>
      <c r="B64" s="10" t="s">
        <v>693</v>
      </c>
      <c r="C64" s="10" t="s">
        <v>126</v>
      </c>
      <c r="D64" s="146"/>
      <c r="E64" s="10"/>
      <c r="F64" s="19" t="s">
        <v>79</v>
      </c>
      <c r="G64" s="161"/>
      <c r="H64" s="177"/>
      <c r="J64" s="1" t="b">
        <f>EXACT(G64,'Vh5205_C-78'!G64)</f>
        <v>1</v>
      </c>
    </row>
    <row r="65" spans="1:10" s="7" customFormat="1" x14ac:dyDescent="0.35">
      <c r="A65" s="90">
        <v>62</v>
      </c>
      <c r="B65" s="10" t="s">
        <v>693</v>
      </c>
      <c r="C65" s="10" t="s">
        <v>52</v>
      </c>
      <c r="D65" s="146"/>
      <c r="E65" s="10"/>
      <c r="F65" s="19" t="s">
        <v>79</v>
      </c>
      <c r="G65" s="161"/>
      <c r="H65" s="177"/>
      <c r="J65" s="1" t="b">
        <f>EXACT(G65,'Vh5205_C-78'!G65)</f>
        <v>1</v>
      </c>
    </row>
    <row r="66" spans="1:10" s="7" customFormat="1" x14ac:dyDescent="0.35">
      <c r="A66" s="90">
        <v>63</v>
      </c>
      <c r="B66" s="10" t="s">
        <v>693</v>
      </c>
      <c r="C66" s="10" t="s">
        <v>189</v>
      </c>
      <c r="D66" s="146"/>
      <c r="E66" s="10"/>
      <c r="F66" s="19" t="s">
        <v>79</v>
      </c>
      <c r="G66" s="161" t="s">
        <v>682</v>
      </c>
      <c r="H66" s="177" t="s">
        <v>652</v>
      </c>
      <c r="J66" s="176" t="b">
        <f>EXACT(G66,'Vh5205_C-78'!G66)</f>
        <v>1</v>
      </c>
    </row>
    <row r="67" spans="1:10" s="7" customFormat="1" x14ac:dyDescent="0.35">
      <c r="A67" s="90">
        <v>64</v>
      </c>
      <c r="B67" s="10" t="s">
        <v>693</v>
      </c>
      <c r="C67" s="10" t="s">
        <v>190</v>
      </c>
      <c r="D67" s="146"/>
      <c r="E67" s="10"/>
      <c r="F67" s="19" t="s">
        <v>79</v>
      </c>
      <c r="G67" s="192"/>
      <c r="H67" s="177"/>
      <c r="J67" s="1" t="b">
        <f>EXACT(G67,'Vh5205_C-78'!G67)</f>
        <v>1</v>
      </c>
    </row>
    <row r="68" spans="1:10" s="7" customFormat="1" x14ac:dyDescent="0.35">
      <c r="A68" s="90">
        <v>65</v>
      </c>
      <c r="B68" s="10" t="s">
        <v>693</v>
      </c>
      <c r="C68" s="10" t="s">
        <v>382</v>
      </c>
      <c r="D68" s="146"/>
      <c r="E68" s="10"/>
      <c r="F68" s="19" t="s">
        <v>79</v>
      </c>
      <c r="G68" s="161" t="s">
        <v>620</v>
      </c>
      <c r="H68" s="177" t="s">
        <v>652</v>
      </c>
      <c r="J68" s="176" t="b">
        <f>EXACT(G68,'Vh5205_C-78'!G68)</f>
        <v>1</v>
      </c>
    </row>
    <row r="69" spans="1:10" s="7" customFormat="1" ht="31" x14ac:dyDescent="0.35">
      <c r="A69" s="90">
        <v>66</v>
      </c>
      <c r="B69" s="10" t="s">
        <v>693</v>
      </c>
      <c r="C69" s="10" t="s">
        <v>419</v>
      </c>
      <c r="D69" s="146"/>
      <c r="E69" s="10" t="s">
        <v>480</v>
      </c>
      <c r="F69" s="19" t="s">
        <v>26</v>
      </c>
      <c r="G69" s="161" t="s">
        <v>650</v>
      </c>
      <c r="H69" s="177" t="s">
        <v>652</v>
      </c>
      <c r="J69" s="176" t="b">
        <f>EXACT(G69,'Vh5205_C-78'!G69)</f>
        <v>1</v>
      </c>
    </row>
    <row r="70" spans="1:10" s="7" customFormat="1" ht="31" x14ac:dyDescent="0.35">
      <c r="A70" s="90">
        <v>67</v>
      </c>
      <c r="B70" s="104" t="s">
        <v>693</v>
      </c>
      <c r="C70" s="104" t="s">
        <v>420</v>
      </c>
      <c r="D70" s="104"/>
      <c r="E70" s="104"/>
      <c r="F70" s="19" t="s">
        <v>26</v>
      </c>
      <c r="G70" s="161" t="s">
        <v>717</v>
      </c>
      <c r="H70" s="177" t="s">
        <v>652</v>
      </c>
      <c r="J70" s="176" t="b">
        <f>EXACT(G70,'Vh5205_C-78'!G70)</f>
        <v>1</v>
      </c>
    </row>
    <row r="71" spans="1:10" s="7" customFormat="1" x14ac:dyDescent="0.35">
      <c r="A71" s="90">
        <v>68</v>
      </c>
      <c r="B71" s="104" t="s">
        <v>693</v>
      </c>
      <c r="C71" s="104" t="s">
        <v>421</v>
      </c>
      <c r="D71" s="107"/>
      <c r="E71" s="107"/>
      <c r="F71" s="22" t="s">
        <v>79</v>
      </c>
      <c r="G71" s="196"/>
      <c r="H71" s="180"/>
      <c r="J71" s="1" t="b">
        <f>EXACT(G71,'Vh5205_C-78'!G71)</f>
        <v>1</v>
      </c>
    </row>
    <row r="72" spans="1:10" s="7" customFormat="1" x14ac:dyDescent="0.35">
      <c r="A72" s="90">
        <v>69</v>
      </c>
      <c r="B72" s="102" t="s">
        <v>694</v>
      </c>
      <c r="C72" s="102" t="s">
        <v>422</v>
      </c>
      <c r="D72" s="10"/>
      <c r="E72" s="10"/>
      <c r="F72" s="19" t="s">
        <v>79</v>
      </c>
      <c r="G72" s="161"/>
      <c r="H72" s="177"/>
      <c r="J72" s="1" t="b">
        <f>EXACT(G72,'Vh5205_C-78'!G72)</f>
        <v>1</v>
      </c>
    </row>
    <row r="73" spans="1:10" s="7" customFormat="1" x14ac:dyDescent="0.35">
      <c r="A73" s="90">
        <v>70</v>
      </c>
      <c r="B73" s="13" t="s">
        <v>694</v>
      </c>
      <c r="C73" s="13" t="s">
        <v>102</v>
      </c>
      <c r="D73" s="87"/>
      <c r="E73" s="13"/>
      <c r="F73" s="22" t="s">
        <v>79</v>
      </c>
      <c r="G73" s="196"/>
      <c r="H73" s="180"/>
      <c r="J73" s="1" t="b">
        <f>EXACT(G73,'Vh5205_C-78'!G73)</f>
        <v>1</v>
      </c>
    </row>
    <row r="74" spans="1:10" s="7" customFormat="1" x14ac:dyDescent="0.35">
      <c r="A74" s="90">
        <v>71</v>
      </c>
      <c r="B74" s="10" t="s">
        <v>695</v>
      </c>
      <c r="C74" s="10" t="s">
        <v>127</v>
      </c>
      <c r="D74" s="146"/>
      <c r="E74" s="10" t="s">
        <v>4</v>
      </c>
      <c r="F74" s="19" t="s">
        <v>79</v>
      </c>
      <c r="G74" s="161"/>
      <c r="H74" s="177"/>
      <c r="J74" s="1" t="b">
        <f>EXACT(G74,'Vh5205_C-78'!G74)</f>
        <v>1</v>
      </c>
    </row>
    <row r="75" spans="1:10" s="7" customFormat="1" x14ac:dyDescent="0.35">
      <c r="A75" s="90">
        <v>72</v>
      </c>
      <c r="B75" s="10" t="s">
        <v>695</v>
      </c>
      <c r="C75" s="10" t="s">
        <v>298</v>
      </c>
      <c r="D75" s="146"/>
      <c r="E75" s="10" t="s">
        <v>4</v>
      </c>
      <c r="F75" s="19" t="s">
        <v>79</v>
      </c>
      <c r="G75" s="192" t="s">
        <v>655</v>
      </c>
      <c r="H75" s="177" t="s">
        <v>652</v>
      </c>
      <c r="J75" s="176" t="b">
        <f>EXACT(G75,'Vh5205_C-78'!G75)</f>
        <v>1</v>
      </c>
    </row>
    <row r="76" spans="1:10" s="7" customFormat="1" x14ac:dyDescent="0.35">
      <c r="A76" s="90">
        <v>73</v>
      </c>
      <c r="B76" s="10" t="s">
        <v>695</v>
      </c>
      <c r="C76" s="10" t="s">
        <v>115</v>
      </c>
      <c r="D76" s="146"/>
      <c r="E76" s="10"/>
      <c r="F76" s="22" t="s">
        <v>79</v>
      </c>
      <c r="G76" s="196"/>
      <c r="H76" s="180"/>
      <c r="J76" s="1" t="b">
        <f>EXACT(G76,'Vh5205_C-78'!G76)</f>
        <v>1</v>
      </c>
    </row>
    <row r="77" spans="1:10" x14ac:dyDescent="0.35">
      <c r="A77" s="90">
        <v>74</v>
      </c>
      <c r="B77" s="100" t="s">
        <v>696</v>
      </c>
      <c r="C77" s="100" t="s">
        <v>43</v>
      </c>
      <c r="D77" s="100"/>
      <c r="E77" s="100"/>
      <c r="F77" s="19" t="s">
        <v>79</v>
      </c>
      <c r="G77" s="161" t="s">
        <v>518</v>
      </c>
      <c r="H77" s="140"/>
      <c r="J77" s="1" t="b">
        <f>EXACT(G77,'Vh5205_C-78'!G77)</f>
        <v>0</v>
      </c>
    </row>
    <row r="78" spans="1:10" x14ac:dyDescent="0.35">
      <c r="A78" s="90">
        <v>75</v>
      </c>
      <c r="B78" s="146" t="s">
        <v>696</v>
      </c>
      <c r="C78" s="146" t="s">
        <v>114</v>
      </c>
      <c r="D78" s="146"/>
      <c r="E78" s="146"/>
      <c r="F78" s="19" t="s">
        <v>79</v>
      </c>
      <c r="G78" s="161"/>
      <c r="H78" s="140"/>
      <c r="J78" s="1" t="b">
        <f>EXACT(G78,'Vh5205_C-78'!G78)</f>
        <v>1</v>
      </c>
    </row>
    <row r="79" spans="1:10" x14ac:dyDescent="0.35">
      <c r="A79" s="90">
        <v>76</v>
      </c>
      <c r="B79" s="10" t="s">
        <v>696</v>
      </c>
      <c r="C79" s="10" t="s">
        <v>338</v>
      </c>
      <c r="D79" s="146"/>
      <c r="E79" s="146"/>
      <c r="F79" s="19" t="s">
        <v>79</v>
      </c>
      <c r="G79" s="192" t="s">
        <v>615</v>
      </c>
      <c r="H79" s="140" t="s">
        <v>652</v>
      </c>
      <c r="J79" s="176" t="b">
        <f>EXACT(G79,'Vh5205_C-78'!G79)</f>
        <v>1</v>
      </c>
    </row>
    <row r="80" spans="1:10" x14ac:dyDescent="0.35">
      <c r="A80" s="90">
        <v>77</v>
      </c>
      <c r="B80" s="10" t="s">
        <v>696</v>
      </c>
      <c r="C80" s="10" t="s">
        <v>150</v>
      </c>
      <c r="D80" s="146"/>
      <c r="E80" s="146"/>
      <c r="F80" s="19" t="s">
        <v>26</v>
      </c>
      <c r="G80" s="192" t="s">
        <v>612</v>
      </c>
      <c r="H80" s="140" t="s">
        <v>652</v>
      </c>
      <c r="J80" s="176" t="b">
        <f>EXACT(G80,'Vh5205_C-78'!G80)</f>
        <v>1</v>
      </c>
    </row>
    <row r="81" spans="1:10" x14ac:dyDescent="0.35">
      <c r="A81" s="90">
        <v>78</v>
      </c>
      <c r="B81" s="10" t="s">
        <v>696</v>
      </c>
      <c r="C81" s="10" t="s">
        <v>152</v>
      </c>
      <c r="D81" s="146"/>
      <c r="E81" s="146"/>
      <c r="F81" s="19" t="s">
        <v>26</v>
      </c>
      <c r="G81" s="192" t="s">
        <v>267</v>
      </c>
      <c r="H81" s="140" t="s">
        <v>652</v>
      </c>
      <c r="J81" s="176" t="b">
        <f>EXACT(G81,'Vh5205_C-78'!G81)</f>
        <v>1</v>
      </c>
    </row>
    <row r="82" spans="1:10" x14ac:dyDescent="0.35">
      <c r="A82" s="90">
        <v>79</v>
      </c>
      <c r="B82" s="10" t="s">
        <v>696</v>
      </c>
      <c r="C82" s="10" t="s">
        <v>153</v>
      </c>
      <c r="D82" s="146"/>
      <c r="E82" s="146"/>
      <c r="F82" s="19" t="s">
        <v>26</v>
      </c>
      <c r="G82" s="192" t="s">
        <v>268</v>
      </c>
      <c r="H82" s="140" t="s">
        <v>652</v>
      </c>
      <c r="J82" s="176" t="b">
        <f>EXACT(G82,'Vh5205_C-78'!G82)</f>
        <v>1</v>
      </c>
    </row>
    <row r="83" spans="1:10" ht="31" x14ac:dyDescent="0.35">
      <c r="A83" s="90">
        <v>80</v>
      </c>
      <c r="B83" s="10" t="s">
        <v>696</v>
      </c>
      <c r="C83" s="10" t="s">
        <v>9</v>
      </c>
      <c r="D83" s="146"/>
      <c r="E83" s="146"/>
      <c r="F83" s="19" t="s">
        <v>26</v>
      </c>
      <c r="G83" s="161" t="s">
        <v>715</v>
      </c>
      <c r="H83" s="140" t="s">
        <v>652</v>
      </c>
      <c r="J83" s="176" t="b">
        <f>EXACT(G83,'Vh5205_C-78'!G83)</f>
        <v>1</v>
      </c>
    </row>
    <row r="84" spans="1:10" x14ac:dyDescent="0.35">
      <c r="A84" s="90">
        <v>81</v>
      </c>
      <c r="B84" s="10" t="s">
        <v>696</v>
      </c>
      <c r="C84" s="10" t="s">
        <v>339</v>
      </c>
      <c r="D84" s="146"/>
      <c r="E84" s="146"/>
      <c r="F84" s="19" t="s">
        <v>26</v>
      </c>
      <c r="G84" s="161" t="s">
        <v>718</v>
      </c>
      <c r="H84" s="140" t="s">
        <v>652</v>
      </c>
      <c r="J84" s="176" t="b">
        <f>EXACT(G84,'Vh5205_C-78'!G84)</f>
        <v>1</v>
      </c>
    </row>
    <row r="85" spans="1:10" ht="31" x14ac:dyDescent="0.35">
      <c r="A85" s="90">
        <v>82</v>
      </c>
      <c r="B85" s="10" t="s">
        <v>696</v>
      </c>
      <c r="C85" s="10" t="s">
        <v>573</v>
      </c>
      <c r="D85" s="146"/>
      <c r="E85" s="146"/>
      <c r="F85" s="19" t="s">
        <v>26</v>
      </c>
      <c r="G85" s="161" t="s">
        <v>537</v>
      </c>
      <c r="H85" s="140" t="s">
        <v>652</v>
      </c>
      <c r="J85" s="176" t="b">
        <f>EXACT(G85,'Vh5205_C-78'!G85)</f>
        <v>1</v>
      </c>
    </row>
    <row r="86" spans="1:10" s="7" customFormat="1" ht="46.5" x14ac:dyDescent="0.35">
      <c r="A86" s="90">
        <v>83</v>
      </c>
      <c r="B86" s="13" t="s">
        <v>696</v>
      </c>
      <c r="C86" s="13" t="s">
        <v>133</v>
      </c>
      <c r="D86" s="87"/>
      <c r="E86" s="87" t="s">
        <v>51</v>
      </c>
      <c r="F86" s="22" t="s">
        <v>79</v>
      </c>
      <c r="G86" s="196" t="s">
        <v>651</v>
      </c>
      <c r="H86" s="182" t="s">
        <v>652</v>
      </c>
      <c r="J86" s="176" t="b">
        <f>EXACT(G86,'Vh5205_C-78'!G86)</f>
        <v>1</v>
      </c>
    </row>
    <row r="87" spans="1:10" x14ac:dyDescent="0.35">
      <c r="A87" s="90">
        <v>84</v>
      </c>
      <c r="B87" s="146" t="s">
        <v>697</v>
      </c>
      <c r="C87" s="146" t="s">
        <v>299</v>
      </c>
      <c r="D87" s="94"/>
      <c r="E87" s="146"/>
      <c r="F87" s="19" t="s">
        <v>79</v>
      </c>
      <c r="G87" s="204" t="s">
        <v>502</v>
      </c>
      <c r="H87" s="140" t="s">
        <v>652</v>
      </c>
      <c r="J87" s="176" t="b">
        <f>EXACT(G87,'Vh5205_C-78'!G87)</f>
        <v>1</v>
      </c>
    </row>
    <row r="88" spans="1:10" x14ac:dyDescent="0.35">
      <c r="A88" s="90">
        <v>85</v>
      </c>
      <c r="B88" s="10" t="s">
        <v>697</v>
      </c>
      <c r="C88" s="10" t="s">
        <v>300</v>
      </c>
      <c r="D88" s="94"/>
      <c r="E88" s="146"/>
      <c r="F88" s="19" t="s">
        <v>79</v>
      </c>
      <c r="G88" s="192" t="s">
        <v>617</v>
      </c>
      <c r="H88" s="140" t="s">
        <v>652</v>
      </c>
      <c r="J88" s="176" t="b">
        <f>EXACT(G88,'Vh5205_C-78'!G88)</f>
        <v>1</v>
      </c>
    </row>
    <row r="89" spans="1:10" x14ac:dyDescent="0.35">
      <c r="A89" s="90">
        <v>86</v>
      </c>
      <c r="B89" s="10" t="s">
        <v>697</v>
      </c>
      <c r="C89" s="10" t="s">
        <v>156</v>
      </c>
      <c r="D89" s="146"/>
      <c r="E89" s="146" t="s">
        <v>0</v>
      </c>
      <c r="F89" s="19" t="s">
        <v>79</v>
      </c>
      <c r="G89" s="192">
        <v>1</v>
      </c>
      <c r="H89" s="140" t="s">
        <v>652</v>
      </c>
      <c r="J89" s="176" t="b">
        <f>EXACT(G89,'Vh5205_C-78'!G89)</f>
        <v>1</v>
      </c>
    </row>
    <row r="90" spans="1:10" x14ac:dyDescent="0.35">
      <c r="A90" s="90">
        <v>87</v>
      </c>
      <c r="B90" s="10" t="s">
        <v>697</v>
      </c>
      <c r="C90" s="10" t="s">
        <v>132</v>
      </c>
      <c r="D90" s="146"/>
      <c r="E90" s="146" t="s">
        <v>0</v>
      </c>
      <c r="F90" s="19" t="s">
        <v>79</v>
      </c>
      <c r="G90" s="192">
        <v>20</v>
      </c>
      <c r="H90" s="140" t="s">
        <v>652</v>
      </c>
      <c r="J90" s="176" t="b">
        <f>EXACT(G90,'Vh5205_C-78'!G90)</f>
        <v>1</v>
      </c>
    </row>
    <row r="91" spans="1:10" s="7" customFormat="1" x14ac:dyDescent="0.35">
      <c r="A91" s="90">
        <v>88</v>
      </c>
      <c r="B91" s="10" t="s">
        <v>697</v>
      </c>
      <c r="C91" s="10" t="s">
        <v>343</v>
      </c>
      <c r="D91" s="146"/>
      <c r="E91" s="146"/>
      <c r="F91" s="20" t="s">
        <v>26</v>
      </c>
      <c r="G91" s="161" t="s">
        <v>625</v>
      </c>
      <c r="H91" s="140" t="s">
        <v>652</v>
      </c>
      <c r="J91" s="176" t="b">
        <f>EXACT(G91,'Vh5205_C-78'!G91)</f>
        <v>1</v>
      </c>
    </row>
    <row r="92" spans="1:10" s="7" customFormat="1" ht="31" x14ac:dyDescent="0.35">
      <c r="A92" s="90">
        <v>89</v>
      </c>
      <c r="B92" s="10" t="s">
        <v>697</v>
      </c>
      <c r="C92" s="10" t="s">
        <v>425</v>
      </c>
      <c r="D92" s="146"/>
      <c r="E92" s="146"/>
      <c r="F92" s="20" t="s">
        <v>26</v>
      </c>
      <c r="G92" s="161" t="s">
        <v>621</v>
      </c>
      <c r="H92" s="140" t="s">
        <v>652</v>
      </c>
      <c r="J92" s="176" t="b">
        <f>EXACT(G92,'Vh5205_C-78'!G92)</f>
        <v>1</v>
      </c>
    </row>
    <row r="93" spans="1:10" ht="31" x14ac:dyDescent="0.35">
      <c r="A93" s="90">
        <v>90</v>
      </c>
      <c r="B93" s="87" t="s">
        <v>697</v>
      </c>
      <c r="C93" s="87" t="s">
        <v>157</v>
      </c>
      <c r="D93" s="87"/>
      <c r="E93" s="87"/>
      <c r="F93" s="21" t="s">
        <v>26</v>
      </c>
      <c r="G93" s="196" t="s">
        <v>719</v>
      </c>
      <c r="H93" s="182" t="s">
        <v>652</v>
      </c>
      <c r="J93" s="176" t="b">
        <f>EXACT(G93,'Vh5205_C-78'!G93)</f>
        <v>1</v>
      </c>
    </row>
    <row r="94" spans="1:10" s="7" customFormat="1" x14ac:dyDescent="0.35">
      <c r="A94" s="90">
        <v>91</v>
      </c>
      <c r="B94" s="10" t="s">
        <v>698</v>
      </c>
      <c r="C94" s="10" t="s">
        <v>159</v>
      </c>
      <c r="D94" s="146"/>
      <c r="E94" s="146"/>
      <c r="F94" s="19" t="s">
        <v>79</v>
      </c>
      <c r="G94" s="197" t="s">
        <v>385</v>
      </c>
      <c r="H94" s="140" t="s">
        <v>652</v>
      </c>
      <c r="J94" s="176" t="b">
        <f>EXACT(G94,'Vh5205_C-78'!G94)</f>
        <v>1</v>
      </c>
    </row>
    <row r="95" spans="1:10" s="7" customFormat="1" x14ac:dyDescent="0.35">
      <c r="A95" s="90">
        <v>92</v>
      </c>
      <c r="B95" s="146" t="s">
        <v>698</v>
      </c>
      <c r="C95" s="146" t="s">
        <v>426</v>
      </c>
      <c r="D95" s="146"/>
      <c r="E95" s="146"/>
      <c r="F95" s="19" t="s">
        <v>79</v>
      </c>
      <c r="G95" s="205" t="s">
        <v>391</v>
      </c>
      <c r="H95" s="140" t="s">
        <v>652</v>
      </c>
      <c r="J95" s="176" t="b">
        <f>EXACT(G95,'Vh5205_C-78'!G95)</f>
        <v>1</v>
      </c>
    </row>
    <row r="96" spans="1:10" s="7" customFormat="1" x14ac:dyDescent="0.35">
      <c r="A96" s="90">
        <v>93</v>
      </c>
      <c r="B96" s="146" t="s">
        <v>698</v>
      </c>
      <c r="C96" s="146" t="s">
        <v>386</v>
      </c>
      <c r="D96" s="146"/>
      <c r="E96" s="146"/>
      <c r="F96" s="19" t="s">
        <v>26</v>
      </c>
      <c r="G96" s="198" t="s">
        <v>387</v>
      </c>
      <c r="H96" s="140" t="s">
        <v>652</v>
      </c>
      <c r="J96" s="176" t="b">
        <f>EXACT(G96,'Vh5205_C-78'!G96)</f>
        <v>1</v>
      </c>
    </row>
    <row r="97" spans="1:10" s="7" customFormat="1" x14ac:dyDescent="0.35">
      <c r="A97" s="90">
        <v>94</v>
      </c>
      <c r="B97" s="146" t="s">
        <v>698</v>
      </c>
      <c r="C97" s="146" t="s">
        <v>105</v>
      </c>
      <c r="D97" s="146"/>
      <c r="E97" s="146"/>
      <c r="F97" s="19" t="s">
        <v>26</v>
      </c>
      <c r="G97" s="161" t="s">
        <v>656</v>
      </c>
      <c r="H97" s="140" t="s">
        <v>652</v>
      </c>
      <c r="J97" s="176" t="b">
        <f>EXACT(G97,'Vh5205_C-78'!G97)</f>
        <v>1</v>
      </c>
    </row>
    <row r="98" spans="1:10" s="7" customFormat="1" x14ac:dyDescent="0.35">
      <c r="A98" s="90">
        <v>95</v>
      </c>
      <c r="B98" s="87" t="s">
        <v>698</v>
      </c>
      <c r="C98" s="87" t="s">
        <v>160</v>
      </c>
      <c r="D98" s="87"/>
      <c r="E98" s="87"/>
      <c r="F98" s="22" t="s">
        <v>79</v>
      </c>
      <c r="G98" s="194" t="s">
        <v>196</v>
      </c>
      <c r="H98" s="182" t="s">
        <v>652</v>
      </c>
      <c r="J98" s="176" t="b">
        <f>EXACT(G98,'Vh5205_C-78'!G98)</f>
        <v>1</v>
      </c>
    </row>
    <row r="99" spans="1:10" x14ac:dyDescent="0.35">
      <c r="A99" s="90">
        <v>96</v>
      </c>
      <c r="B99" s="10" t="s">
        <v>699</v>
      </c>
      <c r="C99" s="10" t="s">
        <v>428</v>
      </c>
      <c r="D99" s="146"/>
      <c r="E99" s="146"/>
      <c r="F99" s="20" t="s">
        <v>26</v>
      </c>
      <c r="G99" s="206" t="s">
        <v>196</v>
      </c>
      <c r="H99" s="140" t="s">
        <v>652</v>
      </c>
      <c r="J99" s="176" t="b">
        <f>EXACT(G99,'Vh5205_C-78'!G99)</f>
        <v>1</v>
      </c>
    </row>
    <row r="100" spans="1:10" x14ac:dyDescent="0.35">
      <c r="A100" s="90">
        <v>97</v>
      </c>
      <c r="B100" s="104" t="s">
        <v>699</v>
      </c>
      <c r="C100" s="104" t="s">
        <v>161</v>
      </c>
      <c r="D100" s="104"/>
      <c r="E100" s="104"/>
      <c r="F100" s="20" t="s">
        <v>79</v>
      </c>
      <c r="G100" s="192"/>
      <c r="H100" s="140"/>
      <c r="J100" s="1" t="b">
        <f>EXACT(G100,'Vh5205_C-78'!G100)</f>
        <v>1</v>
      </c>
    </row>
    <row r="101" spans="1:10" x14ac:dyDescent="0.35">
      <c r="A101" s="90">
        <v>98</v>
      </c>
      <c r="B101" s="104" t="s">
        <v>699</v>
      </c>
      <c r="C101" s="104" t="s">
        <v>272</v>
      </c>
      <c r="D101" s="104"/>
      <c r="E101" s="104"/>
      <c r="F101" s="20" t="s">
        <v>26</v>
      </c>
      <c r="G101" s="207">
        <v>44778</v>
      </c>
      <c r="H101" s="140" t="s">
        <v>652</v>
      </c>
      <c r="J101" s="176" t="b">
        <f>EXACT(G101,'Vh5205_C-78'!G101)</f>
        <v>1</v>
      </c>
    </row>
    <row r="102" spans="1:10" x14ac:dyDescent="0.35">
      <c r="A102" s="90">
        <v>99</v>
      </c>
      <c r="B102" s="104" t="s">
        <v>699</v>
      </c>
      <c r="C102" s="104" t="s">
        <v>271</v>
      </c>
      <c r="D102" s="104"/>
      <c r="E102" s="104"/>
      <c r="F102" s="20" t="s">
        <v>26</v>
      </c>
      <c r="G102" s="161" t="s">
        <v>503</v>
      </c>
      <c r="H102" s="140" t="s">
        <v>652</v>
      </c>
      <c r="J102" s="176" t="b">
        <f>EXACT(G102,'Vh5205_C-78'!G102)</f>
        <v>1</v>
      </c>
    </row>
    <row r="103" spans="1:10" x14ac:dyDescent="0.35">
      <c r="A103" s="90">
        <v>100</v>
      </c>
      <c r="B103" s="10" t="s">
        <v>699</v>
      </c>
      <c r="C103" s="10" t="s">
        <v>120</v>
      </c>
      <c r="D103" s="146"/>
      <c r="E103" s="146"/>
      <c r="F103" s="20" t="s">
        <v>26</v>
      </c>
      <c r="G103" s="192" t="s">
        <v>270</v>
      </c>
      <c r="H103" s="140" t="s">
        <v>652</v>
      </c>
      <c r="J103" s="176" t="b">
        <f>EXACT(G103,'Vh5205_C-78'!G103)</f>
        <v>1</v>
      </c>
    </row>
    <row r="104" spans="1:10" x14ac:dyDescent="0.35">
      <c r="A104" s="90">
        <v>101</v>
      </c>
      <c r="B104" s="10" t="s">
        <v>699</v>
      </c>
      <c r="C104" s="10" t="s">
        <v>119</v>
      </c>
      <c r="D104" s="146"/>
      <c r="E104" s="146"/>
      <c r="F104" s="20" t="s">
        <v>26</v>
      </c>
      <c r="G104" s="161">
        <v>1</v>
      </c>
      <c r="H104" s="140" t="s">
        <v>652</v>
      </c>
      <c r="J104" s="176" t="b">
        <f>EXACT(G104,'Vh5205_C-78'!G104)</f>
        <v>1</v>
      </c>
    </row>
    <row r="105" spans="1:10" x14ac:dyDescent="0.35">
      <c r="A105" s="90">
        <v>102</v>
      </c>
      <c r="B105" s="10" t="s">
        <v>699</v>
      </c>
      <c r="C105" s="10" t="s">
        <v>121</v>
      </c>
      <c r="D105" s="146"/>
      <c r="E105" s="146" t="s">
        <v>0</v>
      </c>
      <c r="F105" s="20" t="s">
        <v>26</v>
      </c>
      <c r="G105" s="161" t="s">
        <v>487</v>
      </c>
      <c r="H105" s="140" t="s">
        <v>652</v>
      </c>
      <c r="J105" s="176" t="b">
        <f>EXACT(G105,'Vh5205_C-78'!G105)</f>
        <v>1</v>
      </c>
    </row>
    <row r="106" spans="1:10" x14ac:dyDescent="0.35">
      <c r="A106" s="90">
        <v>103</v>
      </c>
      <c r="B106" s="13" t="s">
        <v>699</v>
      </c>
      <c r="C106" s="13" t="s">
        <v>430</v>
      </c>
      <c r="D106" s="87"/>
      <c r="E106" s="87"/>
      <c r="F106" s="22" t="s">
        <v>26</v>
      </c>
      <c r="G106" s="194" t="s">
        <v>196</v>
      </c>
      <c r="H106" s="182" t="s">
        <v>652</v>
      </c>
      <c r="J106" s="176" t="b">
        <f>EXACT(G106,'Vh5205_C-78'!G106)</f>
        <v>1</v>
      </c>
    </row>
    <row r="107" spans="1:10" x14ac:dyDescent="0.35">
      <c r="A107" s="90">
        <v>104</v>
      </c>
      <c r="B107" s="10" t="s">
        <v>700</v>
      </c>
      <c r="C107" s="10" t="s">
        <v>458</v>
      </c>
      <c r="D107" s="146"/>
      <c r="E107" s="146"/>
      <c r="F107" s="20" t="s">
        <v>26</v>
      </c>
      <c r="G107" s="197" t="s">
        <v>196</v>
      </c>
      <c r="H107" s="140" t="s">
        <v>652</v>
      </c>
      <c r="J107" s="176" t="b">
        <f>EXACT(G107,'Vh5205_C-78'!G107)</f>
        <v>1</v>
      </c>
    </row>
    <row r="108" spans="1:10" ht="31" x14ac:dyDescent="0.35">
      <c r="A108" s="90">
        <v>105</v>
      </c>
      <c r="B108" s="104" t="s">
        <v>700</v>
      </c>
      <c r="C108" s="104" t="s">
        <v>459</v>
      </c>
      <c r="D108" s="104"/>
      <c r="E108" s="104"/>
      <c r="F108" s="20" t="s">
        <v>26</v>
      </c>
      <c r="G108" s="161" t="s">
        <v>609</v>
      </c>
      <c r="H108" s="140" t="s">
        <v>652</v>
      </c>
      <c r="J108" s="176" t="b">
        <f>EXACT(G108,'Vh5205_C-78'!G108)</f>
        <v>1</v>
      </c>
    </row>
    <row r="109" spans="1:10" x14ac:dyDescent="0.35">
      <c r="A109" s="90">
        <v>106</v>
      </c>
      <c r="B109" s="104" t="s">
        <v>700</v>
      </c>
      <c r="C109" s="104" t="s">
        <v>161</v>
      </c>
      <c r="D109" s="104"/>
      <c r="E109" s="104"/>
      <c r="F109" s="20" t="s">
        <v>79</v>
      </c>
      <c r="G109" s="161" t="s">
        <v>539</v>
      </c>
      <c r="H109" s="140" t="s">
        <v>652</v>
      </c>
      <c r="J109" s="176" t="b">
        <f>EXACT(G109,'Vh5205_C-78'!G109)</f>
        <v>1</v>
      </c>
    </row>
    <row r="110" spans="1:10" x14ac:dyDescent="0.35">
      <c r="A110" s="90">
        <v>107</v>
      </c>
      <c r="B110" s="104" t="s">
        <v>700</v>
      </c>
      <c r="C110" s="104" t="s">
        <v>272</v>
      </c>
      <c r="D110" s="104"/>
      <c r="E110" s="104"/>
      <c r="F110" s="20" t="s">
        <v>26</v>
      </c>
      <c r="G110" s="207">
        <v>45098</v>
      </c>
      <c r="H110" s="140" t="s">
        <v>652</v>
      </c>
      <c r="J110" s="176" t="b">
        <f>EXACT(G110,'Vh5205_C-78'!G110)</f>
        <v>1</v>
      </c>
    </row>
    <row r="111" spans="1:10" x14ac:dyDescent="0.35">
      <c r="A111" s="90">
        <v>108</v>
      </c>
      <c r="B111" s="104" t="s">
        <v>700</v>
      </c>
      <c r="C111" s="104" t="s">
        <v>271</v>
      </c>
      <c r="D111" s="104"/>
      <c r="E111" s="104"/>
      <c r="F111" s="20" t="s">
        <v>26</v>
      </c>
      <c r="G111" s="192" t="s">
        <v>504</v>
      </c>
      <c r="H111" s="140" t="s">
        <v>652</v>
      </c>
      <c r="J111" s="176" t="b">
        <f>EXACT(G111,'Vh5205_C-78'!G111)</f>
        <v>1</v>
      </c>
    </row>
    <row r="112" spans="1:10" x14ac:dyDescent="0.35">
      <c r="A112" s="90">
        <v>109</v>
      </c>
      <c r="B112" s="10" t="s">
        <v>700</v>
      </c>
      <c r="C112" s="10" t="s">
        <v>120</v>
      </c>
      <c r="D112" s="146"/>
      <c r="E112" s="146"/>
      <c r="F112" s="20" t="s">
        <v>26</v>
      </c>
      <c r="G112" s="192" t="s">
        <v>524</v>
      </c>
      <c r="H112" s="140" t="s">
        <v>652</v>
      </c>
      <c r="J112" s="176" t="b">
        <f>EXACT(G112,'Vh5205_C-78'!G112)</f>
        <v>1</v>
      </c>
    </row>
    <row r="113" spans="1:10" x14ac:dyDescent="0.35">
      <c r="A113" s="90">
        <v>110</v>
      </c>
      <c r="B113" s="10" t="s">
        <v>700</v>
      </c>
      <c r="C113" s="10" t="s">
        <v>119</v>
      </c>
      <c r="D113" s="146"/>
      <c r="E113" s="146"/>
      <c r="F113" s="20" t="s">
        <v>26</v>
      </c>
      <c r="G113" s="192" t="s">
        <v>524</v>
      </c>
      <c r="H113" s="140" t="s">
        <v>652</v>
      </c>
      <c r="J113" s="176" t="b">
        <f>EXACT(G113,'Vh5205_C-78'!G113)</f>
        <v>1</v>
      </c>
    </row>
    <row r="114" spans="1:10" x14ac:dyDescent="0.35">
      <c r="A114" s="90">
        <v>111</v>
      </c>
      <c r="B114" s="13" t="s">
        <v>700</v>
      </c>
      <c r="C114" s="13" t="s">
        <v>121</v>
      </c>
      <c r="D114" s="87"/>
      <c r="E114" s="87" t="s">
        <v>0</v>
      </c>
      <c r="F114" s="21" t="s">
        <v>26</v>
      </c>
      <c r="G114" s="194" t="s">
        <v>505</v>
      </c>
      <c r="H114" s="182" t="s">
        <v>652</v>
      </c>
      <c r="J114" s="176" t="b">
        <f>EXACT(G114,'Vh5205_C-78'!G114)</f>
        <v>1</v>
      </c>
    </row>
    <row r="115" spans="1:10" x14ac:dyDescent="0.35">
      <c r="A115" s="90">
        <v>112</v>
      </c>
      <c r="B115" s="102" t="s">
        <v>701</v>
      </c>
      <c r="C115" s="102" t="s">
        <v>308</v>
      </c>
      <c r="D115" s="146"/>
      <c r="E115" s="146"/>
      <c r="F115" s="39" t="s">
        <v>26</v>
      </c>
      <c r="G115" s="197" t="s">
        <v>347</v>
      </c>
      <c r="H115" s="140" t="s">
        <v>652</v>
      </c>
      <c r="J115" s="176" t="b">
        <f>EXACT(G115,'Vh5205_C-78'!G115)</f>
        <v>1</v>
      </c>
    </row>
    <row r="116" spans="1:10" s="7" customFormat="1" x14ac:dyDescent="0.35">
      <c r="A116" s="90">
        <v>113</v>
      </c>
      <c r="B116" s="13" t="s">
        <v>701</v>
      </c>
      <c r="C116" s="13" t="s">
        <v>163</v>
      </c>
      <c r="D116" s="87"/>
      <c r="E116" s="87"/>
      <c r="F116" s="22" t="s">
        <v>26</v>
      </c>
      <c r="G116" s="194" t="s">
        <v>196</v>
      </c>
      <c r="H116" s="182" t="s">
        <v>652</v>
      </c>
      <c r="J116" s="176" t="b">
        <f>EXACT(G116,'Vh5205_C-78'!G116)</f>
        <v>1</v>
      </c>
    </row>
    <row r="117" spans="1:10" s="7" customFormat="1" x14ac:dyDescent="0.35">
      <c r="A117" s="90">
        <v>114</v>
      </c>
      <c r="B117" s="102" t="s">
        <v>702</v>
      </c>
      <c r="C117" s="102" t="s">
        <v>164</v>
      </c>
      <c r="D117" s="100"/>
      <c r="E117" s="100"/>
      <c r="F117" s="18" t="s">
        <v>26</v>
      </c>
      <c r="G117" s="206" t="s">
        <v>196</v>
      </c>
      <c r="H117" s="140" t="s">
        <v>652</v>
      </c>
      <c r="J117" s="176" t="b">
        <f>EXACT(G117,'Vh5205_C-78'!G117)</f>
        <v>1</v>
      </c>
    </row>
    <row r="118" spans="1:10" s="7" customFormat="1" x14ac:dyDescent="0.35">
      <c r="A118" s="90">
        <v>115</v>
      </c>
      <c r="B118" s="13" t="s">
        <v>702</v>
      </c>
      <c r="C118" s="13" t="s">
        <v>191</v>
      </c>
      <c r="D118" s="87"/>
      <c r="E118" s="87"/>
      <c r="F118" s="22" t="s">
        <v>79</v>
      </c>
      <c r="G118" s="194" t="s">
        <v>196</v>
      </c>
      <c r="H118" s="182" t="s">
        <v>652</v>
      </c>
      <c r="J118" s="176" t="b">
        <f>EXACT(G118,'Vh5205_C-78'!G118)</f>
        <v>1</v>
      </c>
    </row>
    <row r="119" spans="1:10" s="7" customFormat="1" x14ac:dyDescent="0.35">
      <c r="A119" s="90">
        <v>116</v>
      </c>
      <c r="B119" s="146" t="s">
        <v>703</v>
      </c>
      <c r="C119" s="146" t="s">
        <v>106</v>
      </c>
      <c r="D119" s="146"/>
      <c r="E119" s="146"/>
      <c r="F119" s="19" t="s">
        <v>26</v>
      </c>
      <c r="G119" s="197" t="s">
        <v>488</v>
      </c>
      <c r="H119" s="140" t="s">
        <v>652</v>
      </c>
      <c r="J119" s="176" t="b">
        <f>EXACT(G119,'Vh5205_C-78'!G119)</f>
        <v>1</v>
      </c>
    </row>
    <row r="120" spans="1:10" x14ac:dyDescent="0.35">
      <c r="A120" s="90">
        <v>117</v>
      </c>
      <c r="B120" s="146" t="s">
        <v>703</v>
      </c>
      <c r="C120" s="146" t="s">
        <v>434</v>
      </c>
      <c r="D120" s="5"/>
      <c r="E120" s="5"/>
      <c r="F120" s="19" t="s">
        <v>26</v>
      </c>
      <c r="G120" s="161" t="s">
        <v>506</v>
      </c>
      <c r="H120" s="140" t="s">
        <v>652</v>
      </c>
      <c r="J120" s="176" t="b">
        <f>EXACT(G120,'Vh5205_C-78'!G120)</f>
        <v>1</v>
      </c>
    </row>
    <row r="121" spans="1:10" ht="31" x14ac:dyDescent="0.35">
      <c r="A121" s="90">
        <v>118</v>
      </c>
      <c r="B121" s="87" t="s">
        <v>703</v>
      </c>
      <c r="C121" s="87" t="s">
        <v>350</v>
      </c>
      <c r="D121" s="93"/>
      <c r="E121" s="93"/>
      <c r="F121" s="22" t="s">
        <v>26</v>
      </c>
      <c r="G121" s="194" t="s">
        <v>196</v>
      </c>
      <c r="H121" s="182" t="s">
        <v>652</v>
      </c>
      <c r="J121" s="176" t="b">
        <f>EXACT(G121,'Vh5205_C-78'!G121)</f>
        <v>1</v>
      </c>
    </row>
    <row r="122" spans="1:10" x14ac:dyDescent="0.35">
      <c r="A122" s="90">
        <v>119</v>
      </c>
      <c r="B122" s="5" t="s">
        <v>704</v>
      </c>
      <c r="C122" s="5" t="s">
        <v>135</v>
      </c>
      <c r="D122" s="5"/>
      <c r="E122" s="5"/>
      <c r="F122" s="19" t="s">
        <v>26</v>
      </c>
      <c r="G122" s="206" t="s">
        <v>269</v>
      </c>
      <c r="H122" s="140" t="s">
        <v>652</v>
      </c>
      <c r="J122" s="176" t="b">
        <f>EXACT(G122,'Vh5205_C-78'!G122)</f>
        <v>1</v>
      </c>
    </row>
    <row r="123" spans="1:10" s="7" customFormat="1" ht="46.5" x14ac:dyDescent="0.35">
      <c r="A123" s="90">
        <v>120</v>
      </c>
      <c r="B123" s="146" t="s">
        <v>704</v>
      </c>
      <c r="C123" s="146" t="s">
        <v>316</v>
      </c>
      <c r="D123" s="146"/>
      <c r="E123" s="146"/>
      <c r="F123" s="19" t="s">
        <v>79</v>
      </c>
      <c r="G123" s="161" t="s">
        <v>528</v>
      </c>
      <c r="H123" s="177"/>
      <c r="J123" s="1" t="b">
        <f>EXACT(G123,'Vh5205_C-78'!G123)</f>
        <v>1</v>
      </c>
    </row>
    <row r="124" spans="1:10" x14ac:dyDescent="0.35">
      <c r="A124" s="90">
        <v>121</v>
      </c>
      <c r="B124" s="5" t="s">
        <v>704</v>
      </c>
      <c r="C124" s="5" t="s">
        <v>354</v>
      </c>
      <c r="D124" s="5"/>
      <c r="E124" s="5"/>
      <c r="F124" s="19" t="s">
        <v>26</v>
      </c>
      <c r="G124" s="161" t="s">
        <v>205</v>
      </c>
      <c r="H124" s="164" t="s">
        <v>652</v>
      </c>
      <c r="J124" s="176" t="b">
        <f>EXACT(G124,'Vh5205_C-78'!G124)</f>
        <v>1</v>
      </c>
    </row>
    <row r="125" spans="1:10" x14ac:dyDescent="0.35">
      <c r="A125" s="90">
        <v>122</v>
      </c>
      <c r="B125" s="5" t="s">
        <v>704</v>
      </c>
      <c r="C125" s="5" t="s">
        <v>139</v>
      </c>
      <c r="D125" s="5"/>
      <c r="E125" s="5" t="s">
        <v>2</v>
      </c>
      <c r="F125" s="19" t="s">
        <v>79</v>
      </c>
      <c r="G125" s="192" t="s">
        <v>489</v>
      </c>
      <c r="H125" s="164" t="s">
        <v>652</v>
      </c>
      <c r="J125" s="176" t="b">
        <f>EXACT(G125,'Vh5205_C-78'!G125)</f>
        <v>1</v>
      </c>
    </row>
    <row r="126" spans="1:10" x14ac:dyDescent="0.35">
      <c r="A126" s="90">
        <v>123</v>
      </c>
      <c r="B126" s="5" t="s">
        <v>704</v>
      </c>
      <c r="C126" s="5" t="s">
        <v>140</v>
      </c>
      <c r="D126" s="5"/>
      <c r="E126" s="5"/>
      <c r="F126" s="19" t="s">
        <v>79</v>
      </c>
      <c r="G126" s="192" t="s">
        <v>538</v>
      </c>
      <c r="H126" s="164" t="s">
        <v>652</v>
      </c>
      <c r="J126" s="176" t="b">
        <f>EXACT(G126,'Vh5205_C-78'!G126)</f>
        <v>1</v>
      </c>
    </row>
    <row r="127" spans="1:10" s="7" customFormat="1" x14ac:dyDescent="0.35">
      <c r="A127" s="90">
        <v>124</v>
      </c>
      <c r="B127" s="10" t="s">
        <v>704</v>
      </c>
      <c r="C127" s="10" t="s">
        <v>122</v>
      </c>
      <c r="D127" s="146"/>
      <c r="E127" s="146"/>
      <c r="F127" s="20" t="s">
        <v>26</v>
      </c>
      <c r="G127" s="161" t="s">
        <v>196</v>
      </c>
      <c r="H127" s="164" t="s">
        <v>652</v>
      </c>
      <c r="J127" s="176" t="b">
        <f>EXACT(G127,'Vh5205_C-78'!G127)</f>
        <v>1</v>
      </c>
    </row>
    <row r="128" spans="1:10" x14ac:dyDescent="0.35">
      <c r="A128" s="90">
        <v>125</v>
      </c>
      <c r="B128" s="5" t="s">
        <v>704</v>
      </c>
      <c r="C128" s="5" t="s">
        <v>137</v>
      </c>
      <c r="D128" s="5"/>
      <c r="E128" s="5"/>
      <c r="F128" s="19" t="s">
        <v>26</v>
      </c>
      <c r="G128" s="192" t="s">
        <v>359</v>
      </c>
      <c r="H128" s="164" t="s">
        <v>652</v>
      </c>
      <c r="J128" s="176" t="b">
        <f>EXACT(G128,'Vh5205_C-78'!G128)</f>
        <v>1</v>
      </c>
    </row>
    <row r="129" spans="1:10" s="7" customFormat="1" x14ac:dyDescent="0.35">
      <c r="A129" s="90">
        <v>126</v>
      </c>
      <c r="B129" s="146" t="s">
        <v>704</v>
      </c>
      <c r="C129" s="146" t="s">
        <v>120</v>
      </c>
      <c r="D129" s="146"/>
      <c r="E129" s="146"/>
      <c r="F129" s="20" t="s">
        <v>26</v>
      </c>
      <c r="G129" s="161" t="s">
        <v>490</v>
      </c>
      <c r="H129" s="164" t="s">
        <v>652</v>
      </c>
      <c r="J129" s="176" t="b">
        <f>EXACT(G129,'Vh5205_C-78'!G129)</f>
        <v>1</v>
      </c>
    </row>
    <row r="130" spans="1:10" s="7" customFormat="1" x14ac:dyDescent="0.35">
      <c r="A130" s="90">
        <v>127</v>
      </c>
      <c r="B130" s="104" t="s">
        <v>704</v>
      </c>
      <c r="C130" s="104" t="s">
        <v>161</v>
      </c>
      <c r="D130" s="146"/>
      <c r="E130" s="146"/>
      <c r="F130" s="20" t="s">
        <v>79</v>
      </c>
      <c r="G130" s="161" t="s">
        <v>539</v>
      </c>
      <c r="H130" s="164" t="s">
        <v>652</v>
      </c>
      <c r="J130" s="176" t="b">
        <f>EXACT(G130,'Vh5205_C-78'!G130)</f>
        <v>1</v>
      </c>
    </row>
    <row r="131" spans="1:10" s="7" customFormat="1" x14ac:dyDescent="0.35">
      <c r="A131" s="90">
        <v>128</v>
      </c>
      <c r="B131" s="104" t="s">
        <v>704</v>
      </c>
      <c r="C131" s="104" t="s">
        <v>358</v>
      </c>
      <c r="D131" s="146"/>
      <c r="E131" s="146"/>
      <c r="F131" s="20" t="s">
        <v>26</v>
      </c>
      <c r="G131" s="195">
        <v>44781</v>
      </c>
      <c r="H131" s="177"/>
      <c r="J131" s="1" t="b">
        <f>EXACT(G131,'Vh5205_C-78'!G131)</f>
        <v>1</v>
      </c>
    </row>
    <row r="132" spans="1:10" s="7" customFormat="1" x14ac:dyDescent="0.35">
      <c r="A132" s="90">
        <v>129</v>
      </c>
      <c r="B132" s="104" t="s">
        <v>704</v>
      </c>
      <c r="C132" s="104" t="s">
        <v>271</v>
      </c>
      <c r="D132" s="146"/>
      <c r="E132" s="146"/>
      <c r="F132" s="20" t="s">
        <v>26</v>
      </c>
      <c r="G132" s="161" t="s">
        <v>504</v>
      </c>
      <c r="H132" s="177" t="s">
        <v>652</v>
      </c>
      <c r="J132" s="176" t="b">
        <f>EXACT(G132,'Vh5205_C-78'!G132)</f>
        <v>1</v>
      </c>
    </row>
    <row r="133" spans="1:10" ht="46.5" x14ac:dyDescent="0.35">
      <c r="A133" s="90">
        <v>130</v>
      </c>
      <c r="B133" s="91" t="s">
        <v>704</v>
      </c>
      <c r="C133" s="91" t="s">
        <v>315</v>
      </c>
      <c r="D133" s="5"/>
      <c r="E133" s="5" t="s">
        <v>85</v>
      </c>
      <c r="F133" s="19" t="s">
        <v>79</v>
      </c>
      <c r="G133" s="198" t="s">
        <v>525</v>
      </c>
      <c r="H133" s="177" t="s">
        <v>652</v>
      </c>
      <c r="J133" s="176" t="b">
        <f>EXACT(G133,'Vh5205_C-78'!G133)</f>
        <v>1</v>
      </c>
    </row>
    <row r="134" spans="1:10" s="7" customFormat="1" x14ac:dyDescent="0.35">
      <c r="A134" s="90">
        <v>131</v>
      </c>
      <c r="B134" s="146" t="s">
        <v>704</v>
      </c>
      <c r="C134" s="146" t="s">
        <v>121</v>
      </c>
      <c r="D134" s="146"/>
      <c r="E134" s="146" t="s">
        <v>85</v>
      </c>
      <c r="F134" s="20" t="s">
        <v>26</v>
      </c>
      <c r="G134" s="161" t="s">
        <v>491</v>
      </c>
      <c r="H134" s="177" t="s">
        <v>652</v>
      </c>
      <c r="J134" s="176" t="b">
        <f>EXACT(G134,'Vh5205_C-78'!G134)</f>
        <v>1</v>
      </c>
    </row>
    <row r="135" spans="1:10" x14ac:dyDescent="0.35">
      <c r="A135" s="90">
        <v>132</v>
      </c>
      <c r="B135" s="5" t="s">
        <v>704</v>
      </c>
      <c r="C135" s="5" t="s">
        <v>165</v>
      </c>
      <c r="D135" s="5"/>
      <c r="E135" s="5"/>
      <c r="F135" s="19" t="s">
        <v>26</v>
      </c>
      <c r="G135" s="192" t="s">
        <v>540</v>
      </c>
      <c r="H135" s="177" t="s">
        <v>652</v>
      </c>
      <c r="J135" s="176" t="b">
        <f>EXACT(G135,'Vh5205_C-78'!G135)</f>
        <v>1</v>
      </c>
    </row>
    <row r="136" spans="1:10" x14ac:dyDescent="0.35">
      <c r="A136" s="90">
        <v>133</v>
      </c>
      <c r="B136" s="5" t="s">
        <v>704</v>
      </c>
      <c r="C136" s="5" t="s">
        <v>166</v>
      </c>
      <c r="D136" s="5"/>
      <c r="E136" s="5"/>
      <c r="F136" s="19" t="s">
        <v>26</v>
      </c>
      <c r="G136" s="161">
        <v>3</v>
      </c>
      <c r="H136" s="177" t="s">
        <v>652</v>
      </c>
      <c r="J136" s="176" t="b">
        <f>EXACT(G136,'Vh5205_C-78'!G136)</f>
        <v>1</v>
      </c>
    </row>
    <row r="137" spans="1:10" x14ac:dyDescent="0.35">
      <c r="A137" s="90">
        <v>134</v>
      </c>
      <c r="B137" s="5" t="s">
        <v>704</v>
      </c>
      <c r="C137" s="5" t="s">
        <v>141</v>
      </c>
      <c r="D137" s="5"/>
      <c r="E137" s="5"/>
      <c r="F137" s="19" t="s">
        <v>26</v>
      </c>
      <c r="G137" s="161" t="s">
        <v>522</v>
      </c>
      <c r="H137" s="177" t="s">
        <v>652</v>
      </c>
      <c r="J137" s="176" t="b">
        <f>EXACT(G137,'Vh5205_C-78'!G137)</f>
        <v>1</v>
      </c>
    </row>
    <row r="138" spans="1:10" s="7" customFormat="1" x14ac:dyDescent="0.35">
      <c r="A138" s="90"/>
      <c r="B138" s="114" t="s">
        <v>704</v>
      </c>
      <c r="C138" s="114"/>
      <c r="D138" s="87"/>
      <c r="E138" s="87"/>
      <c r="F138" s="21"/>
      <c r="G138" s="196"/>
      <c r="H138" s="180"/>
      <c r="J138" s="1" t="b">
        <f>EXACT(G138,'Vh5205_C-78'!G138)</f>
        <v>1</v>
      </c>
    </row>
    <row r="139" spans="1:10" s="7" customFormat="1" x14ac:dyDescent="0.35">
      <c r="A139" s="90">
        <v>135</v>
      </c>
      <c r="B139" s="10" t="s">
        <v>705</v>
      </c>
      <c r="C139" s="10" t="s">
        <v>142</v>
      </c>
      <c r="D139" s="146"/>
      <c r="E139" s="146"/>
      <c r="F139" s="20" t="s">
        <v>26</v>
      </c>
      <c r="G139" s="192" t="s">
        <v>196</v>
      </c>
      <c r="H139" s="177" t="s">
        <v>652</v>
      </c>
      <c r="J139" s="176" t="b">
        <f>EXACT(G139,'Vh5205_C-78'!G139)</f>
        <v>1</v>
      </c>
    </row>
    <row r="140" spans="1:10" x14ac:dyDescent="0.35">
      <c r="A140" s="90">
        <v>136</v>
      </c>
      <c r="B140" s="5" t="s">
        <v>705</v>
      </c>
      <c r="C140" s="5" t="s">
        <v>138</v>
      </c>
      <c r="D140" s="5"/>
      <c r="E140" s="5"/>
      <c r="F140" s="19" t="s">
        <v>79</v>
      </c>
      <c r="G140" s="161" t="s">
        <v>526</v>
      </c>
      <c r="H140" s="177" t="s">
        <v>652</v>
      </c>
      <c r="J140" s="176" t="b">
        <f>EXACT(G140,'Vh5205_C-78'!G140)</f>
        <v>1</v>
      </c>
    </row>
    <row r="141" spans="1:10" x14ac:dyDescent="0.35">
      <c r="A141" s="90">
        <v>137</v>
      </c>
      <c r="B141" s="104" t="s">
        <v>705</v>
      </c>
      <c r="C141" s="104" t="s">
        <v>161</v>
      </c>
      <c r="D141" s="104"/>
      <c r="E141" s="104"/>
      <c r="F141" s="19" t="s">
        <v>79</v>
      </c>
      <c r="G141" s="161" t="s">
        <v>539</v>
      </c>
      <c r="H141" s="177" t="s">
        <v>652</v>
      </c>
      <c r="J141" s="176" t="b">
        <f>EXACT(G141,'Vh5205_C-78'!G141)</f>
        <v>1</v>
      </c>
    </row>
    <row r="142" spans="1:10" x14ac:dyDescent="0.35">
      <c r="A142" s="90">
        <v>138</v>
      </c>
      <c r="B142" s="104" t="s">
        <v>705</v>
      </c>
      <c r="C142" s="104" t="s">
        <v>358</v>
      </c>
      <c r="D142" s="104"/>
      <c r="E142" s="104"/>
      <c r="F142" s="20" t="s">
        <v>26</v>
      </c>
      <c r="G142" s="195">
        <v>44754</v>
      </c>
      <c r="H142" s="140"/>
      <c r="J142" s="1" t="b">
        <f>EXACT(G142,'Vh5205_C-78'!G142)</f>
        <v>1</v>
      </c>
    </row>
    <row r="143" spans="1:10" x14ac:dyDescent="0.35">
      <c r="A143" s="90">
        <v>139</v>
      </c>
      <c r="B143" s="104" t="s">
        <v>705</v>
      </c>
      <c r="C143" s="104" t="s">
        <v>271</v>
      </c>
      <c r="D143" s="104"/>
      <c r="E143" s="104"/>
      <c r="F143" s="20" t="s">
        <v>26</v>
      </c>
      <c r="G143" s="161" t="s">
        <v>492</v>
      </c>
      <c r="H143" s="177" t="s">
        <v>652</v>
      </c>
      <c r="J143" s="176" t="b">
        <f>EXACT(G143,'Vh5205_C-78'!G143)</f>
        <v>1</v>
      </c>
    </row>
    <row r="144" spans="1:10" x14ac:dyDescent="0.35">
      <c r="A144" s="90">
        <v>140</v>
      </c>
      <c r="B144" s="5" t="s">
        <v>705</v>
      </c>
      <c r="C144" s="5" t="s">
        <v>137</v>
      </c>
      <c r="D144" s="5"/>
      <c r="E144" s="5"/>
      <c r="F144" s="19" t="s">
        <v>26</v>
      </c>
      <c r="G144" s="161" t="s">
        <v>493</v>
      </c>
      <c r="H144" s="177" t="s">
        <v>652</v>
      </c>
      <c r="J144" s="176" t="b">
        <f>EXACT(G144,'Vh5205_C-78'!G144)</f>
        <v>1</v>
      </c>
    </row>
    <row r="145" spans="1:10" x14ac:dyDescent="0.35">
      <c r="A145" s="90">
        <v>141</v>
      </c>
      <c r="B145" s="146" t="s">
        <v>705</v>
      </c>
      <c r="C145" s="146" t="s">
        <v>120</v>
      </c>
      <c r="D145" s="146"/>
      <c r="E145" s="146"/>
      <c r="F145" s="19" t="s">
        <v>26</v>
      </c>
      <c r="G145" s="161" t="s">
        <v>273</v>
      </c>
      <c r="H145" s="177" t="s">
        <v>652</v>
      </c>
      <c r="J145" s="176" t="b">
        <f>EXACT(G145,'Vh5205_C-78'!G145)</f>
        <v>1</v>
      </c>
    </row>
    <row r="146" spans="1:10" x14ac:dyDescent="0.35">
      <c r="A146" s="90">
        <v>142</v>
      </c>
      <c r="B146" s="91" t="s">
        <v>705</v>
      </c>
      <c r="C146" s="91" t="s">
        <v>315</v>
      </c>
      <c r="D146" s="5"/>
      <c r="E146" s="5" t="s">
        <v>85</v>
      </c>
      <c r="F146" s="19" t="s">
        <v>79</v>
      </c>
      <c r="G146" s="198" t="s">
        <v>532</v>
      </c>
      <c r="H146" s="140"/>
      <c r="J146" s="1" t="b">
        <f>EXACT(G146,'Vh5205_C-78'!G146)</f>
        <v>1</v>
      </c>
    </row>
    <row r="147" spans="1:10" x14ac:dyDescent="0.35">
      <c r="A147" s="90">
        <v>143</v>
      </c>
      <c r="B147" s="87" t="s">
        <v>705</v>
      </c>
      <c r="C147" s="87" t="s">
        <v>121</v>
      </c>
      <c r="D147" s="93"/>
      <c r="E147" s="87" t="s">
        <v>85</v>
      </c>
      <c r="F147" s="22" t="s">
        <v>26</v>
      </c>
      <c r="G147" s="196" t="s">
        <v>274</v>
      </c>
      <c r="H147" s="180" t="s">
        <v>652</v>
      </c>
      <c r="J147" s="176" t="b">
        <f>EXACT(G147,'Vh5205_C-78'!G147)</f>
        <v>1</v>
      </c>
    </row>
    <row r="148" spans="1:10" x14ac:dyDescent="0.35">
      <c r="A148" s="90">
        <v>144</v>
      </c>
      <c r="B148" s="111" t="s">
        <v>706</v>
      </c>
      <c r="C148" s="111" t="s">
        <v>287</v>
      </c>
      <c r="D148" s="111"/>
      <c r="E148" s="111"/>
      <c r="F148" s="18" t="s">
        <v>26</v>
      </c>
      <c r="G148" s="197" t="s">
        <v>281</v>
      </c>
      <c r="H148" s="177" t="s">
        <v>652</v>
      </c>
      <c r="J148" s="176" t="b">
        <f>EXACT(G148,'Vh5205_C-78'!G148)</f>
        <v>1</v>
      </c>
    </row>
    <row r="149" spans="1:10" x14ac:dyDescent="0.35">
      <c r="A149" s="90">
        <v>145</v>
      </c>
      <c r="B149" s="5" t="s">
        <v>706</v>
      </c>
      <c r="C149" s="5" t="s">
        <v>366</v>
      </c>
      <c r="D149" s="5"/>
      <c r="E149" s="5"/>
      <c r="F149" s="19" t="s">
        <v>26</v>
      </c>
      <c r="G149" s="161" t="s">
        <v>288</v>
      </c>
      <c r="H149" s="177" t="s">
        <v>652</v>
      </c>
      <c r="J149" s="176" t="b">
        <f>EXACT(G149,'Vh5205_C-78'!G149)</f>
        <v>1</v>
      </c>
    </row>
    <row r="150" spans="1:10" x14ac:dyDescent="0.35">
      <c r="A150" s="90">
        <v>146</v>
      </c>
      <c r="B150" s="93" t="s">
        <v>706</v>
      </c>
      <c r="C150" s="93" t="s">
        <v>367</v>
      </c>
      <c r="D150" s="93"/>
      <c r="E150" s="93"/>
      <c r="F150" s="22" t="s">
        <v>26</v>
      </c>
      <c r="G150" s="194" t="s">
        <v>524</v>
      </c>
      <c r="H150" s="180" t="s">
        <v>652</v>
      </c>
      <c r="J150" s="176" t="b">
        <f>EXACT(G150,'Vh5205_C-78'!G150)</f>
        <v>1</v>
      </c>
    </row>
    <row r="151" spans="1:10" s="7" customFormat="1" x14ac:dyDescent="0.35">
      <c r="A151" s="90">
        <v>147</v>
      </c>
      <c r="B151" s="100" t="s">
        <v>707</v>
      </c>
      <c r="C151" s="100" t="s">
        <v>169</v>
      </c>
      <c r="D151" s="146"/>
      <c r="E151" s="146"/>
      <c r="F151" s="19" t="s">
        <v>26</v>
      </c>
      <c r="G151" s="206" t="s">
        <v>541</v>
      </c>
      <c r="H151" s="177" t="s">
        <v>652</v>
      </c>
      <c r="J151" s="176" t="b">
        <f>EXACT(G151,'Vh5205_C-78'!G151)</f>
        <v>1</v>
      </c>
    </row>
    <row r="152" spans="1:10" s="7" customFormat="1" x14ac:dyDescent="0.35">
      <c r="A152" s="90">
        <v>148</v>
      </c>
      <c r="B152" s="146" t="s">
        <v>707</v>
      </c>
      <c r="C152" s="146" t="s">
        <v>192</v>
      </c>
      <c r="D152" s="146"/>
      <c r="E152" s="146"/>
      <c r="F152" s="19" t="s">
        <v>26</v>
      </c>
      <c r="G152" s="192" t="s">
        <v>542</v>
      </c>
      <c r="H152" s="177" t="s">
        <v>652</v>
      </c>
      <c r="J152" s="176" t="b">
        <f>EXACT(G152,'Vh5205_C-78'!G152)</f>
        <v>1</v>
      </c>
    </row>
    <row r="153" spans="1:10" s="7" customFormat="1" x14ac:dyDescent="0.35">
      <c r="A153" s="90">
        <v>149</v>
      </c>
      <c r="B153" s="146" t="s">
        <v>707</v>
      </c>
      <c r="C153" s="146" t="s">
        <v>170</v>
      </c>
      <c r="D153" s="146"/>
      <c r="E153" s="146"/>
      <c r="F153" s="19" t="s">
        <v>26</v>
      </c>
      <c r="G153" s="192" t="s">
        <v>275</v>
      </c>
      <c r="H153" s="177" t="s">
        <v>652</v>
      </c>
      <c r="J153" s="176" t="b">
        <f>EXACT(G153,'Vh5205_C-78'!G153)</f>
        <v>1</v>
      </c>
    </row>
    <row r="154" spans="1:10" s="7" customFormat="1" x14ac:dyDescent="0.35">
      <c r="A154" s="90">
        <v>150</v>
      </c>
      <c r="B154" s="146" t="s">
        <v>707</v>
      </c>
      <c r="C154" s="146" t="s">
        <v>280</v>
      </c>
      <c r="D154" s="146"/>
      <c r="E154" s="146"/>
      <c r="F154" s="19" t="s">
        <v>79</v>
      </c>
      <c r="G154" s="161" t="s">
        <v>494</v>
      </c>
      <c r="H154" s="177" t="s">
        <v>652</v>
      </c>
      <c r="J154" s="176" t="b">
        <f>EXACT(G154,'Vh5205_C-78'!G154)</f>
        <v>1</v>
      </c>
    </row>
    <row r="155" spans="1:10" s="7" customFormat="1" x14ac:dyDescent="0.35">
      <c r="A155" s="90">
        <v>151</v>
      </c>
      <c r="B155" s="146" t="s">
        <v>707</v>
      </c>
      <c r="C155" s="146" t="s">
        <v>44</v>
      </c>
      <c r="D155" s="146"/>
      <c r="E155" s="146"/>
      <c r="F155" s="19" t="s">
        <v>79</v>
      </c>
      <c r="G155" s="205" t="s">
        <v>495</v>
      </c>
      <c r="H155" s="177" t="s">
        <v>652</v>
      </c>
      <c r="J155" s="176" t="b">
        <f>EXACT(G155,'Vh5205_C-78'!G155)</f>
        <v>1</v>
      </c>
    </row>
    <row r="156" spans="1:10" s="7" customFormat="1" x14ac:dyDescent="0.35">
      <c r="A156" s="90">
        <v>152</v>
      </c>
      <c r="B156" s="10" t="s">
        <v>707</v>
      </c>
      <c r="C156" s="10" t="s">
        <v>289</v>
      </c>
      <c r="D156" s="146"/>
      <c r="E156" s="146"/>
      <c r="F156" s="20" t="s">
        <v>79</v>
      </c>
      <c r="G156" s="192" t="s">
        <v>524</v>
      </c>
      <c r="H156" s="177" t="s">
        <v>652</v>
      </c>
      <c r="J156" s="176" t="b">
        <f>EXACT(G156,'Vh5205_C-78'!G156)</f>
        <v>1</v>
      </c>
    </row>
    <row r="157" spans="1:10" s="7" customFormat="1" x14ac:dyDescent="0.35">
      <c r="A157" s="90">
        <v>153</v>
      </c>
      <c r="B157" s="146" t="s">
        <v>707</v>
      </c>
      <c r="C157" s="146" t="s">
        <v>279</v>
      </c>
      <c r="D157" s="146"/>
      <c r="E157" s="146"/>
      <c r="F157" s="19" t="s">
        <v>79</v>
      </c>
      <c r="G157" s="192" t="s">
        <v>385</v>
      </c>
      <c r="H157" s="177" t="s">
        <v>652</v>
      </c>
      <c r="J157" s="176" t="b">
        <f>EXACT(G157,'Vh5205_C-78'!G157)</f>
        <v>1</v>
      </c>
    </row>
    <row r="158" spans="1:10" s="7" customFormat="1" x14ac:dyDescent="0.35">
      <c r="A158" s="90">
        <v>154</v>
      </c>
      <c r="B158" s="10" t="s">
        <v>707</v>
      </c>
      <c r="C158" s="10" t="s">
        <v>31</v>
      </c>
      <c r="D158" s="146"/>
      <c r="E158" s="146" t="s">
        <v>194</v>
      </c>
      <c r="F158" s="19" t="s">
        <v>26</v>
      </c>
      <c r="G158" s="199" t="s">
        <v>496</v>
      </c>
      <c r="H158" s="177" t="s">
        <v>652</v>
      </c>
      <c r="J158" s="176" t="b">
        <f>EXACT(G158,'Vh5205_C-78'!G158)</f>
        <v>1</v>
      </c>
    </row>
    <row r="159" spans="1:10" s="7" customFormat="1" x14ac:dyDescent="0.35">
      <c r="A159" s="90">
        <v>155</v>
      </c>
      <c r="B159" s="10" t="s">
        <v>707</v>
      </c>
      <c r="C159" s="10" t="s">
        <v>32</v>
      </c>
      <c r="D159" s="146"/>
      <c r="E159" s="146" t="s">
        <v>586</v>
      </c>
      <c r="F159" s="19" t="s">
        <v>26</v>
      </c>
      <c r="G159" s="198" t="s">
        <v>497</v>
      </c>
      <c r="H159" s="177" t="s">
        <v>652</v>
      </c>
      <c r="J159" s="176" t="b">
        <f>EXACT(G159,'Vh5205_C-78'!G159)</f>
        <v>1</v>
      </c>
    </row>
    <row r="160" spans="1:10" s="7" customFormat="1" x14ac:dyDescent="0.35">
      <c r="A160" s="90">
        <v>156</v>
      </c>
      <c r="B160" s="10" t="s">
        <v>707</v>
      </c>
      <c r="C160" s="10" t="s">
        <v>291</v>
      </c>
      <c r="D160" s="146"/>
      <c r="E160" s="146" t="s">
        <v>2</v>
      </c>
      <c r="F160" s="19" t="s">
        <v>26</v>
      </c>
      <c r="G160" s="192">
        <v>25</v>
      </c>
      <c r="H160" s="177" t="s">
        <v>652</v>
      </c>
      <c r="J160" s="176" t="b">
        <f>EXACT(G160,'Vh5205_C-78'!G160)</f>
        <v>1</v>
      </c>
    </row>
    <row r="161" spans="1:10" s="7" customFormat="1" x14ac:dyDescent="0.35">
      <c r="A161" s="90">
        <v>157</v>
      </c>
      <c r="B161" s="146" t="s">
        <v>707</v>
      </c>
      <c r="C161" s="146" t="s">
        <v>293</v>
      </c>
      <c r="D161" s="146"/>
      <c r="E161" s="146"/>
      <c r="F161" s="20" t="s">
        <v>26</v>
      </c>
      <c r="G161" s="192" t="s">
        <v>196</v>
      </c>
      <c r="H161" s="177" t="s">
        <v>652</v>
      </c>
      <c r="J161" s="176" t="b">
        <f>EXACT(G161,'Vh5205_C-78'!G161)</f>
        <v>1</v>
      </c>
    </row>
    <row r="162" spans="1:10" s="7" customFormat="1" x14ac:dyDescent="0.35">
      <c r="A162" s="90">
        <v>158</v>
      </c>
      <c r="B162" s="104" t="s">
        <v>707</v>
      </c>
      <c r="C162" s="104" t="s">
        <v>161</v>
      </c>
      <c r="D162" s="104"/>
      <c r="E162" s="104"/>
      <c r="F162" s="20" t="s">
        <v>79</v>
      </c>
      <c r="G162" s="161" t="s">
        <v>539</v>
      </c>
      <c r="H162" s="177" t="s">
        <v>652</v>
      </c>
      <c r="J162" s="176" t="b">
        <f>EXACT(G162,'Vh5205_C-78'!G162)</f>
        <v>1</v>
      </c>
    </row>
    <row r="163" spans="1:10" x14ac:dyDescent="0.35">
      <c r="A163" s="90">
        <v>159</v>
      </c>
      <c r="B163" s="104" t="s">
        <v>707</v>
      </c>
      <c r="C163" s="104" t="s">
        <v>358</v>
      </c>
      <c r="D163" s="104"/>
      <c r="E163" s="104"/>
      <c r="F163" s="20" t="s">
        <v>26</v>
      </c>
      <c r="G163" s="195">
        <v>44735</v>
      </c>
      <c r="H163" s="140"/>
      <c r="J163" s="2" t="b">
        <f>EXACT(G163,'Vh5205_C-78'!G163)</f>
        <v>1</v>
      </c>
    </row>
    <row r="164" spans="1:10" x14ac:dyDescent="0.35">
      <c r="A164" s="90">
        <v>160</v>
      </c>
      <c r="B164" s="104" t="s">
        <v>707</v>
      </c>
      <c r="C164" s="104" t="s">
        <v>271</v>
      </c>
      <c r="D164" s="104"/>
      <c r="E164" s="104"/>
      <c r="F164" s="20" t="s">
        <v>26</v>
      </c>
      <c r="G164" s="161" t="s">
        <v>492</v>
      </c>
      <c r="H164" s="177" t="s">
        <v>652</v>
      </c>
      <c r="J164" s="176" t="b">
        <f>EXACT(G164,'Vh5205_C-78'!G164)</f>
        <v>1</v>
      </c>
    </row>
    <row r="165" spans="1:10" s="7" customFormat="1" x14ac:dyDescent="0.35">
      <c r="A165" s="90">
        <v>161</v>
      </c>
      <c r="B165" s="146" t="s">
        <v>707</v>
      </c>
      <c r="C165" s="146" t="s">
        <v>119</v>
      </c>
      <c r="D165" s="146"/>
      <c r="E165" s="146"/>
      <c r="F165" s="20" t="s">
        <v>26</v>
      </c>
      <c r="G165" s="161">
        <v>1</v>
      </c>
      <c r="H165" s="177" t="s">
        <v>652</v>
      </c>
      <c r="J165" s="176" t="b">
        <f>EXACT(G165,'Vh5205_C-78'!G165)</f>
        <v>1</v>
      </c>
    </row>
    <row r="166" spans="1:10" s="7" customFormat="1" x14ac:dyDescent="0.35">
      <c r="A166" s="90">
        <v>162</v>
      </c>
      <c r="B166" s="146" t="s">
        <v>707</v>
      </c>
      <c r="C166" s="146" t="s">
        <v>145</v>
      </c>
      <c r="D166" s="146"/>
      <c r="E166" s="10" t="s">
        <v>171</v>
      </c>
      <c r="F166" s="20" t="s">
        <v>26</v>
      </c>
      <c r="G166" s="161" t="s">
        <v>543</v>
      </c>
      <c r="H166" s="177" t="s">
        <v>652</v>
      </c>
      <c r="J166" s="176" t="b">
        <f>EXACT(G166,'Vh5205_C-78'!G166)</f>
        <v>1</v>
      </c>
    </row>
    <row r="167" spans="1:10" s="7" customFormat="1" x14ac:dyDescent="0.35">
      <c r="A167" s="90">
        <v>163</v>
      </c>
      <c r="B167" s="87" t="s">
        <v>707</v>
      </c>
      <c r="C167" s="87" t="s">
        <v>120</v>
      </c>
      <c r="D167" s="87"/>
      <c r="E167" s="87"/>
      <c r="F167" s="21" t="s">
        <v>26</v>
      </c>
      <c r="G167" s="194" t="s">
        <v>276</v>
      </c>
      <c r="H167" s="180" t="s">
        <v>652</v>
      </c>
      <c r="J167" s="176" t="b">
        <f>EXACT(G167,'Vh5205_C-78'!G167)</f>
        <v>1</v>
      </c>
    </row>
    <row r="168" spans="1:10" s="7" customFormat="1" x14ac:dyDescent="0.35">
      <c r="A168" s="90"/>
      <c r="B168" s="10" t="s">
        <v>708</v>
      </c>
      <c r="C168" s="10"/>
      <c r="D168" s="146"/>
      <c r="E168" s="146"/>
      <c r="F168" s="20"/>
      <c r="G168" s="208"/>
      <c r="H168" s="180"/>
      <c r="J168" s="1" t="b">
        <f>EXACT(G168,'Vh5205_C-78'!G168)</f>
        <v>1</v>
      </c>
    </row>
    <row r="169" spans="1:10" s="7" customFormat="1" ht="46.5" x14ac:dyDescent="0.35">
      <c r="A169" s="90">
        <v>164</v>
      </c>
      <c r="B169" s="102" t="s">
        <v>709</v>
      </c>
      <c r="C169" s="102" t="s">
        <v>588</v>
      </c>
      <c r="D169" s="100"/>
      <c r="E169" s="100"/>
      <c r="F169" s="18" t="s">
        <v>26</v>
      </c>
      <c r="G169" s="197" t="s">
        <v>657</v>
      </c>
      <c r="H169" s="177" t="s">
        <v>652</v>
      </c>
      <c r="J169" s="176" t="b">
        <f>EXACT(G169,'Vh5205_C-78'!G169)</f>
        <v>1</v>
      </c>
    </row>
    <row r="170" spans="1:10" s="7" customFormat="1" ht="31" x14ac:dyDescent="0.35">
      <c r="A170" s="90">
        <v>165</v>
      </c>
      <c r="B170" s="10" t="s">
        <v>709</v>
      </c>
      <c r="C170" s="10" t="s">
        <v>589</v>
      </c>
      <c r="D170" s="146"/>
      <c r="E170" s="146"/>
      <c r="F170" s="23" t="s">
        <v>26</v>
      </c>
      <c r="G170" s="161" t="s">
        <v>622</v>
      </c>
      <c r="H170" s="177" t="s">
        <v>652</v>
      </c>
      <c r="J170" s="176" t="b">
        <f>EXACT(G170,'Vh5205_C-78'!G170)</f>
        <v>1</v>
      </c>
    </row>
    <row r="171" spans="1:10" s="7" customFormat="1" ht="17.5" x14ac:dyDescent="0.35">
      <c r="A171" s="90">
        <v>166</v>
      </c>
      <c r="B171" s="10" t="s">
        <v>709</v>
      </c>
      <c r="C171" s="10" t="s">
        <v>498</v>
      </c>
      <c r="D171" s="146"/>
      <c r="E171" s="146"/>
      <c r="F171" s="23" t="s">
        <v>26</v>
      </c>
      <c r="G171" s="161" t="s">
        <v>658</v>
      </c>
      <c r="H171" s="177" t="s">
        <v>652</v>
      </c>
      <c r="J171" s="176" t="b">
        <f>EXACT(G171,'Vh5205_C-78'!G171)</f>
        <v>1</v>
      </c>
    </row>
    <row r="172" spans="1:10" s="7" customFormat="1" x14ac:dyDescent="0.35">
      <c r="A172" s="90">
        <v>167</v>
      </c>
      <c r="B172" s="10" t="s">
        <v>709</v>
      </c>
      <c r="C172" s="10" t="s">
        <v>313</v>
      </c>
      <c r="D172" s="146"/>
      <c r="E172" s="146"/>
      <c r="F172" s="19" t="s">
        <v>26</v>
      </c>
      <c r="G172" s="192" t="s">
        <v>48</v>
      </c>
      <c r="H172" s="177" t="s">
        <v>652</v>
      </c>
      <c r="J172" s="176" t="b">
        <f>EXACT(G172,'Vh5205_C-78'!G172)</f>
        <v>1</v>
      </c>
    </row>
    <row r="173" spans="1:10" s="7" customFormat="1" x14ac:dyDescent="0.35">
      <c r="A173" s="90">
        <v>168</v>
      </c>
      <c r="B173" s="146" t="s">
        <v>709</v>
      </c>
      <c r="C173" s="146" t="s">
        <v>306</v>
      </c>
      <c r="D173" s="146"/>
      <c r="E173" s="146"/>
      <c r="F173" s="19" t="s">
        <v>26</v>
      </c>
      <c r="G173" s="192" t="s">
        <v>524</v>
      </c>
      <c r="H173" s="177" t="s">
        <v>652</v>
      </c>
      <c r="J173" s="176" t="b">
        <f>EXACT(G173,'Vh5205_C-78'!G173)</f>
        <v>1</v>
      </c>
    </row>
    <row r="174" spans="1:10" s="7" customFormat="1" x14ac:dyDescent="0.35">
      <c r="A174" s="90">
        <v>169</v>
      </c>
      <c r="B174" s="87" t="s">
        <v>709</v>
      </c>
      <c r="C174" s="87" t="s">
        <v>307</v>
      </c>
      <c r="D174" s="87"/>
      <c r="E174" s="87"/>
      <c r="F174" s="22" t="s">
        <v>79</v>
      </c>
      <c r="G174" s="196"/>
      <c r="H174" s="180"/>
      <c r="J174" s="1" t="b">
        <f>EXACT(G174,'Vh5205_C-78'!G174)</f>
        <v>1</v>
      </c>
    </row>
    <row r="175" spans="1:10" s="7" customFormat="1" x14ac:dyDescent="0.35">
      <c r="A175" s="90">
        <v>170</v>
      </c>
      <c r="B175" s="146" t="s">
        <v>710</v>
      </c>
      <c r="C175" s="146" t="s">
        <v>10</v>
      </c>
      <c r="D175" s="146" t="s">
        <v>146</v>
      </c>
      <c r="E175" s="146" t="s">
        <v>2</v>
      </c>
      <c r="F175" s="19" t="s">
        <v>26</v>
      </c>
      <c r="G175" s="209">
        <v>6</v>
      </c>
      <c r="H175" s="177"/>
      <c r="J175" s="1" t="b">
        <f>EXACT(G175,'Vh5205_C-78'!G175)</f>
        <v>1</v>
      </c>
    </row>
    <row r="176" spans="1:10" s="7" customFormat="1" ht="17.5" x14ac:dyDescent="0.35">
      <c r="A176" s="90">
        <v>171</v>
      </c>
      <c r="B176" s="146" t="s">
        <v>710</v>
      </c>
      <c r="C176" s="146" t="s">
        <v>11</v>
      </c>
      <c r="D176" s="146" t="s">
        <v>591</v>
      </c>
      <c r="E176" s="146" t="s">
        <v>2</v>
      </c>
      <c r="F176" s="19" t="s">
        <v>26</v>
      </c>
      <c r="G176" s="210">
        <v>24</v>
      </c>
      <c r="H176" s="177"/>
      <c r="J176" s="1" t="b">
        <f>EXACT(G176,'Vh5205_C-78'!G176)</f>
        <v>0</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EXACT(G177,'Vh5205_C-78'!G177)</f>
        <v>1</v>
      </c>
    </row>
    <row r="178" spans="1:10" s="7" customFormat="1" x14ac:dyDescent="0.35">
      <c r="A178" s="90">
        <v>173</v>
      </c>
      <c r="B178" s="10" t="s">
        <v>710</v>
      </c>
      <c r="C178" s="10" t="s">
        <v>28</v>
      </c>
      <c r="D178" s="146" t="s">
        <v>593</v>
      </c>
      <c r="E178" s="146" t="s">
        <v>2</v>
      </c>
      <c r="F178" s="19" t="s">
        <v>26</v>
      </c>
      <c r="G178" s="211">
        <v>22.5</v>
      </c>
      <c r="H178" s="177"/>
      <c r="J178" s="1" t="b">
        <f>EXACT(G178,'Vh5205_C-78'!G178)</f>
        <v>0</v>
      </c>
    </row>
    <row r="179" spans="1:10" s="7" customFormat="1" ht="17.5" x14ac:dyDescent="0.35">
      <c r="A179" s="90">
        <v>174</v>
      </c>
      <c r="B179" s="10" t="s">
        <v>710</v>
      </c>
      <c r="C179" s="10" t="s">
        <v>29</v>
      </c>
      <c r="D179" s="10" t="s">
        <v>440</v>
      </c>
      <c r="E179" s="146" t="s">
        <v>2</v>
      </c>
      <c r="F179" s="19" t="s">
        <v>26</v>
      </c>
      <c r="G179" s="210">
        <v>24</v>
      </c>
      <c r="H179" s="177"/>
      <c r="J179" s="1" t="b">
        <f>EXACT(G179,'Vh5205_C-78'!G179)</f>
        <v>0</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EXACT(G180,'Vh5205_C-78'!G180)</f>
        <v>1</v>
      </c>
    </row>
    <row r="181" spans="1:10" s="7" customFormat="1" ht="17.5" x14ac:dyDescent="0.35">
      <c r="A181" s="90">
        <v>176</v>
      </c>
      <c r="B181" s="10" t="s">
        <v>710</v>
      </c>
      <c r="C181" s="10" t="s">
        <v>30</v>
      </c>
      <c r="D181" s="10" t="s">
        <v>443</v>
      </c>
      <c r="E181" s="146" t="s">
        <v>2</v>
      </c>
      <c r="F181" s="19" t="s">
        <v>26</v>
      </c>
      <c r="G181" s="211">
        <v>22.5</v>
      </c>
      <c r="H181" s="177"/>
      <c r="J181" s="1" t="b">
        <f>EXACT(G181,'Vh5205_C-78'!G181)</f>
        <v>0</v>
      </c>
    </row>
    <row r="182" spans="1:10" s="7" customFormat="1" x14ac:dyDescent="0.35">
      <c r="A182" s="90">
        <v>177</v>
      </c>
      <c r="B182" s="146" t="s">
        <v>710</v>
      </c>
      <c r="C182" s="146" t="s">
        <v>444</v>
      </c>
      <c r="D182" s="10" t="s">
        <v>445</v>
      </c>
      <c r="E182" s="146" t="s">
        <v>2</v>
      </c>
      <c r="F182" s="19" t="s">
        <v>26</v>
      </c>
      <c r="G182" s="211">
        <v>4</v>
      </c>
      <c r="H182" s="177"/>
      <c r="J182" s="1" t="b">
        <f>EXACT(G182,'Vh5205_C-78'!G182)</f>
        <v>1</v>
      </c>
    </row>
    <row r="183" spans="1:10" s="7" customFormat="1" ht="17.5" x14ac:dyDescent="0.35">
      <c r="A183" s="90">
        <v>178</v>
      </c>
      <c r="B183" s="146" t="s">
        <v>710</v>
      </c>
      <c r="C183" s="146" t="s">
        <v>446</v>
      </c>
      <c r="D183" s="10" t="s">
        <v>447</v>
      </c>
      <c r="E183" s="146" t="s">
        <v>2</v>
      </c>
      <c r="F183" s="19" t="s">
        <v>26</v>
      </c>
      <c r="G183" s="203">
        <v>4.51</v>
      </c>
      <c r="H183" s="177"/>
      <c r="J183" s="1" t="b">
        <f>EXACT(G183,'Vh5205_C-78'!G183)</f>
        <v>0</v>
      </c>
    </row>
    <row r="184" spans="1:10" s="7" customFormat="1" x14ac:dyDescent="0.35">
      <c r="A184" s="90">
        <v>179</v>
      </c>
      <c r="B184" s="146" t="s">
        <v>710</v>
      </c>
      <c r="C184" s="146" t="s">
        <v>448</v>
      </c>
      <c r="D184" s="10" t="s">
        <v>449</v>
      </c>
      <c r="E184" s="146" t="s">
        <v>2</v>
      </c>
      <c r="F184" s="19" t="s">
        <v>26</v>
      </c>
      <c r="G184" s="192" t="s">
        <v>524</v>
      </c>
      <c r="H184" s="177" t="s">
        <v>652</v>
      </c>
      <c r="J184" s="176" t="b">
        <f>EXACT(G184,'Vh5205_C-78'!G184)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EXACT(G185,'Vh5205_C-78'!G185)</f>
        <v>1</v>
      </c>
    </row>
    <row r="186" spans="1:10" s="7" customFormat="1" x14ac:dyDescent="0.35">
      <c r="A186" s="90">
        <v>181</v>
      </c>
      <c r="B186" s="146" t="s">
        <v>710</v>
      </c>
      <c r="C186" s="146" t="s">
        <v>452</v>
      </c>
      <c r="D186" s="10" t="s">
        <v>453</v>
      </c>
      <c r="E186" s="146" t="s">
        <v>2</v>
      </c>
      <c r="F186" s="19" t="s">
        <v>26</v>
      </c>
      <c r="G186" s="211">
        <v>3.8</v>
      </c>
      <c r="H186" s="177"/>
      <c r="J186" s="1" t="b">
        <f>EXACT(G186,'Vh5205_C-78'!G186)</f>
        <v>1</v>
      </c>
    </row>
    <row r="187" spans="1:10" s="7" customFormat="1" ht="17.5" x14ac:dyDescent="0.35">
      <c r="A187" s="90">
        <v>182</v>
      </c>
      <c r="B187" s="87" t="s">
        <v>710</v>
      </c>
      <c r="C187" s="87" t="s">
        <v>454</v>
      </c>
      <c r="D187" s="13" t="s">
        <v>455</v>
      </c>
      <c r="E187" s="87" t="s">
        <v>2</v>
      </c>
      <c r="F187" s="22" t="s">
        <v>26</v>
      </c>
      <c r="G187" s="212">
        <v>4.2300000000000004</v>
      </c>
      <c r="H187" s="180"/>
      <c r="J187" s="1" t="b">
        <f>EXACT(G187,'Vh5205_C-78'!G187)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EXACT(G188,'Vh5205_C-78'!G188)</f>
        <v>1</v>
      </c>
    </row>
    <row r="189" spans="1:10" s="7" customFormat="1" x14ac:dyDescent="0.35">
      <c r="A189" s="90">
        <v>184</v>
      </c>
      <c r="B189" s="10" t="s">
        <v>711</v>
      </c>
      <c r="C189" s="10" t="s">
        <v>47</v>
      </c>
      <c r="D189" s="106" t="s">
        <v>597</v>
      </c>
      <c r="E189" s="146" t="s">
        <v>2</v>
      </c>
      <c r="F189" s="19" t="s">
        <v>79</v>
      </c>
      <c r="G189" s="161"/>
      <c r="H189" s="177"/>
      <c r="J189" s="1" t="b">
        <f>EXACT(G189,'Vh5205_C-78'!G189)</f>
        <v>1</v>
      </c>
    </row>
    <row r="190" spans="1:10" s="7" customFormat="1" ht="17.5" x14ac:dyDescent="0.35">
      <c r="A190" s="90">
        <v>185</v>
      </c>
      <c r="B190" s="10" t="s">
        <v>711</v>
      </c>
      <c r="C190" s="10" t="s">
        <v>175</v>
      </c>
      <c r="D190" s="106" t="s">
        <v>598</v>
      </c>
      <c r="E190" s="146" t="s">
        <v>2</v>
      </c>
      <c r="F190" s="19" t="s">
        <v>79</v>
      </c>
      <c r="G190" s="161"/>
      <c r="H190" s="177"/>
      <c r="J190" s="1" t="b">
        <f>EXACT(G190,'Vh5205_C-78'!G190)</f>
        <v>1</v>
      </c>
    </row>
    <row r="191" spans="1:10" s="7" customFormat="1" x14ac:dyDescent="0.35">
      <c r="A191" s="90">
        <v>186</v>
      </c>
      <c r="B191" s="146" t="s">
        <v>711</v>
      </c>
      <c r="C191" s="146" t="s">
        <v>12</v>
      </c>
      <c r="D191" s="146"/>
      <c r="E191" s="146" t="s">
        <v>5</v>
      </c>
      <c r="F191" s="19" t="s">
        <v>26</v>
      </c>
      <c r="G191" s="161">
        <v>1.87</v>
      </c>
      <c r="H191" s="177"/>
      <c r="J191" s="1" t="b">
        <f>EXACT(G191,'Vh5205_C-78'!G191)</f>
        <v>0</v>
      </c>
    </row>
    <row r="192" spans="1:10" s="7" customFormat="1" x14ac:dyDescent="0.35">
      <c r="A192" s="90">
        <v>187</v>
      </c>
      <c r="B192" s="146" t="s">
        <v>711</v>
      </c>
      <c r="C192" s="146" t="s">
        <v>53</v>
      </c>
      <c r="D192" s="146"/>
      <c r="E192" s="146" t="s">
        <v>5</v>
      </c>
      <c r="F192" s="19" t="s">
        <v>26</v>
      </c>
      <c r="G192" s="161">
        <v>1.32</v>
      </c>
      <c r="H192" s="177"/>
      <c r="J192" s="1" t="b">
        <f>EXACT(G192,'Vh5205_C-78'!G192)</f>
        <v>0</v>
      </c>
    </row>
    <row r="193" spans="1:10" s="7" customFormat="1" x14ac:dyDescent="0.35">
      <c r="A193" s="90">
        <v>188</v>
      </c>
      <c r="B193" s="146" t="s">
        <v>711</v>
      </c>
      <c r="C193" s="146" t="s">
        <v>8</v>
      </c>
      <c r="D193" s="146" t="s">
        <v>36</v>
      </c>
      <c r="E193" s="146" t="s">
        <v>5</v>
      </c>
      <c r="F193" s="22" t="s">
        <v>26</v>
      </c>
      <c r="G193" s="213">
        <v>72.400000000000006</v>
      </c>
      <c r="H193" s="180"/>
      <c r="J193" s="1" t="b">
        <f>EXACT(G193,'Vh5205_C-78'!G193)</f>
        <v>0</v>
      </c>
    </row>
    <row r="194" spans="1:10" s="7" customFormat="1" ht="17.5" x14ac:dyDescent="0.35">
      <c r="A194" s="90">
        <v>189</v>
      </c>
      <c r="B194" s="100" t="s">
        <v>712</v>
      </c>
      <c r="C194" s="100" t="s">
        <v>118</v>
      </c>
      <c r="D194" s="100" t="s">
        <v>599</v>
      </c>
      <c r="E194" s="100" t="s">
        <v>5</v>
      </c>
      <c r="F194" s="19" t="s">
        <v>26</v>
      </c>
      <c r="G194" s="214">
        <v>72.400000000000006</v>
      </c>
      <c r="H194" s="177"/>
      <c r="J194" s="1" t="b">
        <f>EXACT(G194,'Vh5205_C-78'!G194)</f>
        <v>0</v>
      </c>
    </row>
    <row r="195" spans="1:10" s="7" customFormat="1" x14ac:dyDescent="0.35">
      <c r="A195" s="90">
        <v>190</v>
      </c>
      <c r="B195" s="10" t="s">
        <v>712</v>
      </c>
      <c r="C195" s="10" t="s">
        <v>176</v>
      </c>
      <c r="D195" s="146"/>
      <c r="E195" s="146"/>
      <c r="F195" s="19" t="s">
        <v>26</v>
      </c>
      <c r="G195" s="161" t="s">
        <v>533</v>
      </c>
      <c r="H195" s="177"/>
      <c r="J195" s="1" t="b">
        <f>EXACT(G195,'Vh5205_C-78'!G195)</f>
        <v>1</v>
      </c>
    </row>
    <row r="196" spans="1:10" s="7" customFormat="1" x14ac:dyDescent="0.35">
      <c r="A196" s="90">
        <v>191</v>
      </c>
      <c r="B196" s="13" t="s">
        <v>712</v>
      </c>
      <c r="C196" s="13" t="s">
        <v>38</v>
      </c>
      <c r="D196" s="87" t="s">
        <v>49</v>
      </c>
      <c r="E196" s="87" t="s">
        <v>2</v>
      </c>
      <c r="F196" s="22" t="s">
        <v>79</v>
      </c>
      <c r="G196" s="215">
        <v>30.4</v>
      </c>
      <c r="H196" s="180"/>
      <c r="J196" s="1" t="b">
        <f>EXACT(G196,'Vh5205_C-78'!G196)</f>
        <v>1</v>
      </c>
    </row>
    <row r="197" spans="1:10" s="7" customFormat="1" ht="17.5" x14ac:dyDescent="0.35">
      <c r="A197" s="90">
        <v>192</v>
      </c>
      <c r="B197" s="10" t="s">
        <v>711</v>
      </c>
      <c r="C197" s="10" t="s">
        <v>22</v>
      </c>
      <c r="D197" s="10" t="s">
        <v>46</v>
      </c>
      <c r="E197" s="10" t="s">
        <v>3</v>
      </c>
      <c r="F197" s="19" t="s">
        <v>26</v>
      </c>
      <c r="G197" s="192" t="s">
        <v>545</v>
      </c>
      <c r="H197" s="177" t="s">
        <v>652</v>
      </c>
      <c r="J197" s="176" t="b">
        <f>EXACT(G197,'Vh5205_C-78'!G197)</f>
        <v>1</v>
      </c>
    </row>
    <row r="198" spans="1:10" s="7" customFormat="1" x14ac:dyDescent="0.35">
      <c r="A198" s="90">
        <v>193</v>
      </c>
      <c r="B198" s="10" t="s">
        <v>711</v>
      </c>
      <c r="C198" s="10" t="s">
        <v>193</v>
      </c>
      <c r="D198" s="5"/>
      <c r="E198" s="10" t="s">
        <v>0</v>
      </c>
      <c r="F198" s="19" t="s">
        <v>26</v>
      </c>
      <c r="G198" s="192" t="s">
        <v>659</v>
      </c>
      <c r="H198" s="177" t="s">
        <v>652</v>
      </c>
      <c r="J198" s="176" t="b">
        <f>EXACT(G198,'Vh5205_C-78'!G198)</f>
        <v>1</v>
      </c>
    </row>
    <row r="199" spans="1:10" s="7" customFormat="1" x14ac:dyDescent="0.35">
      <c r="A199" s="90">
        <v>194</v>
      </c>
      <c r="B199" s="146" t="s">
        <v>711</v>
      </c>
      <c r="C199" s="146" t="s">
        <v>13</v>
      </c>
      <c r="D199" s="146"/>
      <c r="E199" s="146" t="s">
        <v>6</v>
      </c>
      <c r="F199" s="19" t="s">
        <v>79</v>
      </c>
      <c r="G199" s="161"/>
      <c r="H199" s="177"/>
      <c r="J199" s="1" t="b">
        <f>EXACT(G199,'Vh5205_C-78'!G199)</f>
        <v>1</v>
      </c>
    </row>
    <row r="200" spans="1:10" s="7" customFormat="1" x14ac:dyDescent="0.35">
      <c r="A200" s="90">
        <v>195</v>
      </c>
      <c r="B200" s="146" t="s">
        <v>711</v>
      </c>
      <c r="C200" s="146" t="s">
        <v>14</v>
      </c>
      <c r="D200" s="146"/>
      <c r="E200" s="146" t="s">
        <v>6</v>
      </c>
      <c r="F200" s="19" t="s">
        <v>79</v>
      </c>
      <c r="G200" s="161"/>
      <c r="H200" s="177"/>
      <c r="J200" s="1" t="b">
        <f>EXACT(G200,'Vh5205_C-78'!G200)</f>
        <v>1</v>
      </c>
    </row>
    <row r="201" spans="1:10" s="7" customFormat="1" x14ac:dyDescent="0.35">
      <c r="A201" s="90">
        <v>196</v>
      </c>
      <c r="B201" s="146" t="s">
        <v>711</v>
      </c>
      <c r="C201" s="146" t="s">
        <v>19</v>
      </c>
      <c r="D201" s="146"/>
      <c r="E201" s="146" t="s">
        <v>113</v>
      </c>
      <c r="F201" s="19" t="s">
        <v>79</v>
      </c>
      <c r="G201" s="161"/>
      <c r="H201" s="177"/>
      <c r="J201" s="1" t="b">
        <f>EXACT(G201,'Vh5205_C-78'!G201)</f>
        <v>1</v>
      </c>
    </row>
    <row r="202" spans="1:10" s="7" customFormat="1" x14ac:dyDescent="0.35">
      <c r="A202" s="90">
        <v>197</v>
      </c>
      <c r="B202" s="146" t="s">
        <v>711</v>
      </c>
      <c r="C202" s="146" t="s">
        <v>20</v>
      </c>
      <c r="D202" s="146"/>
      <c r="E202" s="146" t="s">
        <v>113</v>
      </c>
      <c r="F202" s="19" t="s">
        <v>79</v>
      </c>
      <c r="G202" s="161"/>
      <c r="H202" s="177"/>
      <c r="J202" s="1" t="b">
        <f>EXACT(G202,'Vh5205_C-78'!G202)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EXACT(G203,'Vh5205_C-78'!G203)</f>
        <v>1</v>
      </c>
    </row>
    <row r="204" spans="1:10" s="7" customFormat="1" ht="17.5" x14ac:dyDescent="0.35">
      <c r="A204" s="90">
        <v>199</v>
      </c>
      <c r="B204" s="10" t="s">
        <v>713</v>
      </c>
      <c r="C204" s="10" t="s">
        <v>180</v>
      </c>
      <c r="D204" s="102" t="s">
        <v>181</v>
      </c>
      <c r="E204" s="100" t="s">
        <v>1</v>
      </c>
      <c r="F204" s="23" t="s">
        <v>26</v>
      </c>
      <c r="G204" s="161" t="s">
        <v>524</v>
      </c>
      <c r="H204" s="177"/>
      <c r="J204" s="1" t="b">
        <f>EXACT(G204,'Vh5205_C-78'!G204)</f>
        <v>1</v>
      </c>
    </row>
    <row r="205" spans="1:10" s="7" customFormat="1" x14ac:dyDescent="0.35">
      <c r="A205" s="90">
        <v>200</v>
      </c>
      <c r="B205" s="146" t="s">
        <v>713</v>
      </c>
      <c r="C205" s="146" t="s">
        <v>37</v>
      </c>
      <c r="D205" s="146" t="s">
        <v>50</v>
      </c>
      <c r="E205" s="146" t="s">
        <v>1</v>
      </c>
      <c r="F205" s="23" t="s">
        <v>26</v>
      </c>
      <c r="G205" s="216">
        <v>27</v>
      </c>
      <c r="H205" s="177"/>
      <c r="J205" s="1" t="b">
        <f>EXACT(G205,'Vh5205_C-78'!G205)</f>
        <v>0</v>
      </c>
    </row>
    <row r="206" spans="1:10" s="7" customFormat="1" ht="17.5" x14ac:dyDescent="0.35">
      <c r="A206" s="90">
        <v>201</v>
      </c>
      <c r="B206" s="87" t="s">
        <v>713</v>
      </c>
      <c r="C206" s="87" t="s">
        <v>610</v>
      </c>
      <c r="D206" s="13" t="s">
        <v>182</v>
      </c>
      <c r="E206" s="103" t="s">
        <v>1</v>
      </c>
      <c r="F206" s="24" t="s">
        <v>26</v>
      </c>
      <c r="G206" s="217">
        <v>56</v>
      </c>
      <c r="H206" s="180"/>
      <c r="J206" s="1" t="b">
        <f>EXACT(G206,'Vh5205_C-78'!G206)</f>
        <v>0</v>
      </c>
    </row>
    <row r="207" spans="1:10" s="7" customFormat="1" x14ac:dyDescent="0.35">
      <c r="A207" s="90">
        <v>202</v>
      </c>
      <c r="B207" s="5" t="s">
        <v>714</v>
      </c>
      <c r="C207" s="5" t="s">
        <v>392</v>
      </c>
      <c r="D207" s="146"/>
      <c r="E207" s="146"/>
      <c r="F207" s="23" t="s">
        <v>26</v>
      </c>
      <c r="G207" s="161" t="s">
        <v>524</v>
      </c>
      <c r="H207" s="177" t="s">
        <v>652</v>
      </c>
      <c r="J207" s="176" t="b">
        <f>EXACT(G207,'Vh5205_C-78'!G207)</f>
        <v>1</v>
      </c>
    </row>
    <row r="208" spans="1:10" s="7" customFormat="1" x14ac:dyDescent="0.35">
      <c r="A208" s="90">
        <v>203</v>
      </c>
      <c r="B208" s="146" t="s">
        <v>714</v>
      </c>
      <c r="C208" s="146" t="s">
        <v>25</v>
      </c>
      <c r="D208" s="146" t="s">
        <v>601</v>
      </c>
      <c r="E208" s="146" t="s">
        <v>1</v>
      </c>
      <c r="F208" s="19" t="s">
        <v>26</v>
      </c>
      <c r="G208" s="218">
        <v>27.5</v>
      </c>
      <c r="H208" s="177"/>
      <c r="J208" s="1" t="b">
        <f>EXACT(G208,'Vh5205_C-78'!G208)</f>
        <v>0</v>
      </c>
    </row>
    <row r="209" spans="1:10" s="7" customFormat="1" x14ac:dyDescent="0.35">
      <c r="A209" s="90">
        <v>204</v>
      </c>
      <c r="B209" s="146" t="s">
        <v>714</v>
      </c>
      <c r="C209" s="146" t="s">
        <v>33</v>
      </c>
      <c r="D209" s="146" t="s">
        <v>602</v>
      </c>
      <c r="E209" s="146" t="s">
        <v>1</v>
      </c>
      <c r="F209" s="19" t="s">
        <v>26</v>
      </c>
      <c r="G209" s="219">
        <v>0.28699999999999998</v>
      </c>
      <c r="H209" s="177"/>
      <c r="J209" s="1" t="b">
        <f>EXACT(G209,'Vh5205_C-78'!G209)</f>
        <v>0</v>
      </c>
    </row>
    <row r="210" spans="1:10" s="7" customFormat="1" ht="17.5" x14ac:dyDescent="0.35">
      <c r="A210" s="90">
        <v>205</v>
      </c>
      <c r="B210" s="146" t="s">
        <v>714</v>
      </c>
      <c r="C210" s="146" t="s">
        <v>27</v>
      </c>
      <c r="D210" s="146" t="s">
        <v>603</v>
      </c>
      <c r="E210" s="146" t="s">
        <v>1</v>
      </c>
      <c r="F210" s="19" t="s">
        <v>26</v>
      </c>
      <c r="G210" s="219">
        <v>0.27</v>
      </c>
      <c r="H210" s="177"/>
      <c r="J210" s="1" t="b">
        <f>EXACT(G210,'Vh5205_C-78'!G210)</f>
        <v>0</v>
      </c>
    </row>
    <row r="211" spans="1:10" s="7" customFormat="1" x14ac:dyDescent="0.35">
      <c r="A211" s="90">
        <v>206</v>
      </c>
      <c r="B211" s="146" t="s">
        <v>714</v>
      </c>
      <c r="C211" s="146" t="s">
        <v>34</v>
      </c>
      <c r="D211" s="146" t="s">
        <v>604</v>
      </c>
      <c r="E211" s="146" t="s">
        <v>1</v>
      </c>
      <c r="F211" s="19" t="s">
        <v>26</v>
      </c>
      <c r="G211" s="216">
        <v>1.7000000000000001E-2</v>
      </c>
      <c r="H211" s="177"/>
      <c r="J211" s="1" t="b">
        <f>EXACT(G211,'Vh5205_C-78'!G211)</f>
        <v>0</v>
      </c>
    </row>
    <row r="212" spans="1:10" s="7" customFormat="1" x14ac:dyDescent="0.35">
      <c r="A212" s="90">
        <v>207</v>
      </c>
      <c r="B212" s="146" t="s">
        <v>714</v>
      </c>
      <c r="C212" s="146" t="s">
        <v>24</v>
      </c>
      <c r="D212" s="146" t="s">
        <v>605</v>
      </c>
      <c r="E212" s="146" t="s">
        <v>1</v>
      </c>
      <c r="F212" s="19" t="s">
        <v>26</v>
      </c>
      <c r="G212" s="219">
        <v>27.2</v>
      </c>
      <c r="H212" s="177"/>
      <c r="J212" s="1" t="b">
        <f>EXACT(G212,'Vh5205_C-78'!G212)</f>
        <v>0</v>
      </c>
    </row>
    <row r="213" spans="1:10" s="7" customFormat="1" ht="17.5" x14ac:dyDescent="0.35">
      <c r="A213" s="123">
        <v>208</v>
      </c>
      <c r="B213" s="87" t="s">
        <v>714</v>
      </c>
      <c r="C213" s="87" t="s">
        <v>23</v>
      </c>
      <c r="D213" s="87" t="s">
        <v>606</v>
      </c>
      <c r="E213" s="87" t="s">
        <v>1</v>
      </c>
      <c r="F213" s="22" t="s">
        <v>26</v>
      </c>
      <c r="G213" s="220">
        <v>27.2</v>
      </c>
      <c r="H213" s="180"/>
      <c r="J213" s="1" t="b">
        <f>EXACT(G213,'Vh5205_C-78'!G213)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200" priority="432" operator="equal">
      <formula>"Mandatory"</formula>
    </cfRule>
  </conditionalFormatting>
  <conditionalFormatting sqref="F4:F213">
    <cfRule type="cellIs" dxfId="199" priority="430" operator="equal">
      <formula>"Recommended"</formula>
    </cfRule>
    <cfRule type="cellIs" dxfId="198" priority="431" operator="equal">
      <formula>"Optional"</formula>
    </cfRule>
  </conditionalFormatting>
  <conditionalFormatting sqref="F4:F213">
    <cfRule type="cellIs" dxfId="197" priority="429" operator="equal">
      <formula>"Undecided"</formula>
    </cfRule>
  </conditionalFormatting>
  <conditionalFormatting sqref="G227:G232">
    <cfRule type="cellIs" dxfId="196" priority="263" operator="notEqual">
      <formula>0</formula>
    </cfRule>
  </conditionalFormatting>
  <conditionalFormatting sqref="J4:J213">
    <cfRule type="cellIs" dxfId="195" priority="93" operator="equal">
      <formula>FALSE</formula>
    </cfRule>
    <cfRule type="cellIs" dxfId="194" priority="94" operator="equal">
      <formula>"""FALSE"""</formula>
    </cfRule>
    <cfRule type="cellIs" dxfId="193" priority="95" operator="equal">
      <formula>"""FALSE"""</formula>
    </cfRule>
  </conditionalFormatting>
  <conditionalFormatting sqref="H124:H130">
    <cfRule type="cellIs" dxfId="192" priority="89" operator="equal">
      <formula>"Mandatory"</formula>
    </cfRule>
  </conditionalFormatting>
  <conditionalFormatting sqref="H124:H130">
    <cfRule type="cellIs" dxfId="191" priority="87" operator="equal">
      <formula>"Recommended"</formula>
    </cfRule>
    <cfRule type="cellIs" dxfId="190" priority="88" operator="equal">
      <formula>"Optional"</formula>
    </cfRule>
  </conditionalFormatting>
  <conditionalFormatting sqref="H124:H130">
    <cfRule type="cellIs" dxfId="189" priority="86" operator="equal">
      <formula>"Undecided"</formula>
    </cfRule>
  </conditionalFormatting>
  <conditionalFormatting sqref="G15 G177 G180 G184:G185 G188 G197:G198 G20 G44 G34:G38 G51:G53 G68 G57:G60 G83:G85 G141 G203 G212:G213 G40">
    <cfRule type="cellIs" dxfId="188" priority="85" operator="equal">
      <formula>"Mandatory"</formula>
    </cfRule>
  </conditionalFormatting>
  <conditionalFormatting sqref="G15 G177 G180 G184:G185 G188 G197:G198 G20 G44 G34:G38 G51:G53 G68 G57:G60 G83:G85 G141 G203 G212:G213 G40">
    <cfRule type="cellIs" dxfId="187" priority="83" operator="equal">
      <formula>"Not Mandatory"</formula>
    </cfRule>
    <cfRule type="cellIs" dxfId="186" priority="84" operator="equal">
      <formula>"Recommended"</formula>
    </cfRule>
  </conditionalFormatting>
  <conditionalFormatting sqref="G44 G37:G38 G52:G53 G57:G60 G85 G40">
    <cfRule type="cellIs" dxfId="185" priority="81" operator="equal">
      <formula>"Not Mandatory"</formula>
    </cfRule>
    <cfRule type="cellIs" dxfId="184" priority="82" operator="equal">
      <formula>"Recommended"</formula>
    </cfRule>
  </conditionalFormatting>
  <conditionalFormatting sqref="G44 G37:G38 G52:G53 G57:G60 G85 G40">
    <cfRule type="cellIs" dxfId="183" priority="79" operator="equal">
      <formula>"Not Mandatory"</formula>
    </cfRule>
    <cfRule type="cellIs" dxfId="182" priority="80" operator="equal">
      <formula>"Recommended"</formula>
    </cfRule>
  </conditionalFormatting>
  <conditionalFormatting sqref="G48:G49">
    <cfRule type="cellIs" dxfId="181" priority="78" operator="equal">
      <formula>"Mandatory"</formula>
    </cfRule>
  </conditionalFormatting>
  <conditionalFormatting sqref="G48:G49">
    <cfRule type="cellIs" dxfId="180" priority="76" operator="equal">
      <formula>"Not Mandatory"</formula>
    </cfRule>
    <cfRule type="cellIs" dxfId="179" priority="77" operator="equal">
      <formula>"Recommended"</formula>
    </cfRule>
  </conditionalFormatting>
  <conditionalFormatting sqref="G48:G49">
    <cfRule type="cellIs" dxfId="178" priority="74" operator="equal">
      <formula>"Not Mandatory"</formula>
    </cfRule>
    <cfRule type="cellIs" dxfId="177" priority="75" operator="equal">
      <formula>"Recommended"</formula>
    </cfRule>
  </conditionalFormatting>
  <conditionalFormatting sqref="G48:G49">
    <cfRule type="cellIs" dxfId="176" priority="72" operator="equal">
      <formula>"Not Mandatory"</formula>
    </cfRule>
    <cfRule type="cellIs" dxfId="175" priority="73" operator="equal">
      <formula>"Recommended"</formula>
    </cfRule>
  </conditionalFormatting>
  <conditionalFormatting sqref="G69">
    <cfRule type="cellIs" dxfId="174" priority="71" operator="equal">
      <formula>"Mandatory"</formula>
    </cfRule>
  </conditionalFormatting>
  <conditionalFormatting sqref="G69">
    <cfRule type="cellIs" dxfId="173" priority="69" operator="equal">
      <formula>"Not Mandatory"</formula>
    </cfRule>
    <cfRule type="cellIs" dxfId="172" priority="70" operator="equal">
      <formula>"Recommended"</formula>
    </cfRule>
  </conditionalFormatting>
  <conditionalFormatting sqref="G86">
    <cfRule type="cellIs" dxfId="171" priority="68" operator="equal">
      <formula>"Mandatory"</formula>
    </cfRule>
  </conditionalFormatting>
  <conditionalFormatting sqref="G86">
    <cfRule type="cellIs" dxfId="170" priority="66" operator="equal">
      <formula>"Not Mandatory"</formula>
    </cfRule>
    <cfRule type="cellIs" dxfId="169" priority="67" operator="equal">
      <formula>"Recommended"</formula>
    </cfRule>
  </conditionalFormatting>
  <conditionalFormatting sqref="G86">
    <cfRule type="cellIs" dxfId="168" priority="64" operator="equal">
      <formula>"Not Mandatory"</formula>
    </cfRule>
    <cfRule type="cellIs" dxfId="167" priority="65" operator="equal">
      <formula>"Recommended"</formula>
    </cfRule>
  </conditionalFormatting>
  <conditionalFormatting sqref="G86">
    <cfRule type="cellIs" dxfId="166" priority="62" operator="equal">
      <formula>"Not Mandatory"</formula>
    </cfRule>
    <cfRule type="cellIs" dxfId="165" priority="63" operator="equal">
      <formula>"Recommended"</formula>
    </cfRule>
  </conditionalFormatting>
  <conditionalFormatting sqref="G9:G13">
    <cfRule type="cellIs" dxfId="164" priority="61" operator="equal">
      <formula>"Mandatory"</formula>
    </cfRule>
  </conditionalFormatting>
  <conditionalFormatting sqref="G9:G13">
    <cfRule type="cellIs" dxfId="163" priority="59" operator="equal">
      <formula>"Not Mandatory"</formula>
    </cfRule>
    <cfRule type="cellIs" dxfId="162" priority="60" operator="equal">
      <formula>"Recommended"</formula>
    </cfRule>
  </conditionalFormatting>
  <conditionalFormatting sqref="G31:G33">
    <cfRule type="cellIs" dxfId="161" priority="58" operator="equal">
      <formula>"Mandatory"</formula>
    </cfRule>
  </conditionalFormatting>
  <conditionalFormatting sqref="G31:G33">
    <cfRule type="cellIs" dxfId="160" priority="56" operator="equal">
      <formula>"Not Mandatory"</formula>
    </cfRule>
    <cfRule type="cellIs" dxfId="159" priority="57" operator="equal">
      <formula>"Recommended"</formula>
    </cfRule>
  </conditionalFormatting>
  <conditionalFormatting sqref="G31:G33">
    <cfRule type="cellIs" dxfId="158" priority="54" operator="equal">
      <formula>"Not Mandatory"</formula>
    </cfRule>
    <cfRule type="cellIs" dxfId="157" priority="55" operator="equal">
      <formula>"Recommended"</formula>
    </cfRule>
  </conditionalFormatting>
  <conditionalFormatting sqref="G31:G33">
    <cfRule type="cellIs" dxfId="156" priority="52" operator="equal">
      <formula>"Not Mandatory"</formula>
    </cfRule>
    <cfRule type="cellIs" dxfId="155" priority="53" operator="equal">
      <formula>"Recommended"</formula>
    </cfRule>
  </conditionalFormatting>
  <conditionalFormatting sqref="G41">
    <cfRule type="cellIs" dxfId="154" priority="51" operator="equal">
      <formula>"Mandatory"</formula>
    </cfRule>
  </conditionalFormatting>
  <conditionalFormatting sqref="G41">
    <cfRule type="cellIs" dxfId="153" priority="49" operator="equal">
      <formula>"Not Mandatory"</formula>
    </cfRule>
    <cfRule type="cellIs" dxfId="152" priority="50" operator="equal">
      <formula>"Recommended"</formula>
    </cfRule>
  </conditionalFormatting>
  <conditionalFormatting sqref="G41">
    <cfRule type="cellIs" dxfId="151" priority="47" operator="equal">
      <formula>"Not Mandatory"</formula>
    </cfRule>
    <cfRule type="cellIs" dxfId="150" priority="48" operator="equal">
      <formula>"Recommended"</formula>
    </cfRule>
  </conditionalFormatting>
  <conditionalFormatting sqref="G41">
    <cfRule type="cellIs" dxfId="149" priority="45" operator="equal">
      <formula>"Not Mandatory"</formula>
    </cfRule>
    <cfRule type="cellIs" dxfId="148" priority="46" operator="equal">
      <formula>"Recommended"</formula>
    </cfRule>
  </conditionalFormatting>
  <conditionalFormatting sqref="G90">
    <cfRule type="cellIs" dxfId="147" priority="44" operator="equal">
      <formula>"Mandatory"</formula>
    </cfRule>
  </conditionalFormatting>
  <conditionalFormatting sqref="G90">
    <cfRule type="cellIs" dxfId="146" priority="42" operator="equal">
      <formula>"Not Mandatory"</formula>
    </cfRule>
    <cfRule type="cellIs" dxfId="145" priority="43" operator="equal">
      <formula>"Recommended"</formula>
    </cfRule>
  </conditionalFormatting>
  <conditionalFormatting sqref="G122">
    <cfRule type="cellIs" dxfId="144" priority="41" operator="equal">
      <formula>"Mandatory"</formula>
    </cfRule>
  </conditionalFormatting>
  <conditionalFormatting sqref="G122">
    <cfRule type="cellIs" dxfId="143" priority="39" operator="equal">
      <formula>"Not Mandatory"</formula>
    </cfRule>
    <cfRule type="cellIs" dxfId="142" priority="40" operator="equal">
      <formula>"Recommended"</formula>
    </cfRule>
  </conditionalFormatting>
  <conditionalFormatting sqref="G119">
    <cfRule type="cellIs" dxfId="141" priority="38" operator="equal">
      <formula>"Mandatory"</formula>
    </cfRule>
  </conditionalFormatting>
  <conditionalFormatting sqref="G119">
    <cfRule type="cellIs" dxfId="140" priority="36" operator="equal">
      <formula>"Not Mandatory"</formula>
    </cfRule>
    <cfRule type="cellIs" dxfId="139" priority="37" operator="equal">
      <formula>"Recommended"</formula>
    </cfRule>
  </conditionalFormatting>
  <conditionalFormatting sqref="G109">
    <cfRule type="cellIs" dxfId="138" priority="35" operator="equal">
      <formula>"Mandatory"</formula>
    </cfRule>
  </conditionalFormatting>
  <conditionalFormatting sqref="G109">
    <cfRule type="cellIs" dxfId="137" priority="33" operator="equal">
      <formula>"Not Mandatory"</formula>
    </cfRule>
    <cfRule type="cellIs" dxfId="136" priority="34" operator="equal">
      <formula>"Recommended"</formula>
    </cfRule>
  </conditionalFormatting>
  <conditionalFormatting sqref="G130">
    <cfRule type="cellIs" dxfId="135" priority="32" operator="equal">
      <formula>"Mandatory"</formula>
    </cfRule>
  </conditionalFormatting>
  <conditionalFormatting sqref="G130">
    <cfRule type="cellIs" dxfId="134" priority="30" operator="equal">
      <formula>"Not Mandatory"</formula>
    </cfRule>
    <cfRule type="cellIs" dxfId="133" priority="31" operator="equal">
      <formula>"Recommended"</formula>
    </cfRule>
  </conditionalFormatting>
  <conditionalFormatting sqref="G125">
    <cfRule type="cellIs" dxfId="132" priority="29" operator="equal">
      <formula>"Mandatory"</formula>
    </cfRule>
  </conditionalFormatting>
  <conditionalFormatting sqref="G125">
    <cfRule type="cellIs" dxfId="131" priority="27" operator="equal">
      <formula>"Not Mandatory"</formula>
    </cfRule>
    <cfRule type="cellIs" dxfId="130" priority="28" operator="equal">
      <formula>"Recommended"</formula>
    </cfRule>
  </conditionalFormatting>
  <conditionalFormatting sqref="G127:G129">
    <cfRule type="cellIs" dxfId="129" priority="26" operator="equal">
      <formula>"Mandatory"</formula>
    </cfRule>
  </conditionalFormatting>
  <conditionalFormatting sqref="G127:G129">
    <cfRule type="cellIs" dxfId="128" priority="24" operator="equal">
      <formula>"Not Mandatory"</formula>
    </cfRule>
    <cfRule type="cellIs" dxfId="127" priority="25" operator="equal">
      <formula>"Recommended"</formula>
    </cfRule>
  </conditionalFormatting>
  <conditionalFormatting sqref="G135:G136">
    <cfRule type="cellIs" dxfId="126" priority="23" operator="equal">
      <formula>"Mandatory"</formula>
    </cfRule>
  </conditionalFormatting>
  <conditionalFormatting sqref="G135:G136">
    <cfRule type="cellIs" dxfId="125" priority="21" operator="equal">
      <formula>"Not Mandatory"</formula>
    </cfRule>
    <cfRule type="cellIs" dxfId="124" priority="22" operator="equal">
      <formula>"Recommended"</formula>
    </cfRule>
  </conditionalFormatting>
  <conditionalFormatting sqref="G154">
    <cfRule type="cellIs" dxfId="123" priority="20" operator="equal">
      <formula>"Mandatory"</formula>
    </cfRule>
  </conditionalFormatting>
  <conditionalFormatting sqref="G154">
    <cfRule type="cellIs" dxfId="122" priority="18" operator="equal">
      <formula>"Not Mandatory"</formula>
    </cfRule>
    <cfRule type="cellIs" dxfId="121" priority="19" operator="equal">
      <formula>"Recommended"</formula>
    </cfRule>
  </conditionalFormatting>
  <conditionalFormatting sqref="G162">
    <cfRule type="cellIs" dxfId="120" priority="17" operator="equal">
      <formula>"Mandatory"</formula>
    </cfRule>
  </conditionalFormatting>
  <conditionalFormatting sqref="G162">
    <cfRule type="cellIs" dxfId="119" priority="15" operator="equal">
      <formula>"Not Mandatory"</formula>
    </cfRule>
    <cfRule type="cellIs" dxfId="118" priority="16" operator="equal">
      <formula>"Recommended"</formula>
    </cfRule>
  </conditionalFormatting>
  <conditionalFormatting sqref="G66">
    <cfRule type="cellIs" dxfId="117" priority="14" operator="equal">
      <formula>"Mandatory"</formula>
    </cfRule>
  </conditionalFormatting>
  <conditionalFormatting sqref="G66">
    <cfRule type="cellIs" dxfId="116" priority="12" operator="equal">
      <formula>"Not Mandatory"</formula>
    </cfRule>
    <cfRule type="cellIs" dxfId="115" priority="13" operator="equal">
      <formula>"Recommended"</formula>
    </cfRule>
  </conditionalFormatting>
  <conditionalFormatting sqref="G66">
    <cfRule type="cellIs" dxfId="114" priority="10" operator="equal">
      <formula>"Not Mandatory"</formula>
    </cfRule>
    <cfRule type="cellIs" dxfId="113" priority="11" operator="equal">
      <formula>"Recommended"</formula>
    </cfRule>
  </conditionalFormatting>
  <conditionalFormatting sqref="G66">
    <cfRule type="cellIs" dxfId="112" priority="8" operator="equal">
      <formula>"Not Mandatory"</formula>
    </cfRule>
    <cfRule type="cellIs" dxfId="111" priority="9" operator="equal">
      <formula>"Recommended"</formula>
    </cfRule>
  </conditionalFormatting>
  <conditionalFormatting sqref="G39">
    <cfRule type="cellIs" dxfId="110" priority="7" operator="equal">
      <formula>"Mandatory"</formula>
    </cfRule>
  </conditionalFormatting>
  <conditionalFormatting sqref="G39">
    <cfRule type="cellIs" dxfId="109" priority="5" operator="equal">
      <formula>"Not Mandatory"</formula>
    </cfRule>
    <cfRule type="cellIs" dxfId="108" priority="6" operator="equal">
      <formula>"Recommended"</formula>
    </cfRule>
  </conditionalFormatting>
  <conditionalFormatting sqref="G39">
    <cfRule type="cellIs" dxfId="107" priority="3" operator="equal">
      <formula>"Not Mandatory"</formula>
    </cfRule>
    <cfRule type="cellIs" dxfId="106" priority="4" operator="equal">
      <formula>"Recommended"</formula>
    </cfRule>
  </conditionalFormatting>
  <conditionalFormatting sqref="G39">
    <cfRule type="cellIs" dxfId="105" priority="1" operator="equal">
      <formula>"Not Mandatory"</formula>
    </cfRule>
    <cfRule type="cellIs" dxfId="104" priority="2" operator="equal">
      <formula>"Recommended"</formula>
    </cfRule>
  </conditionalFormatting>
  <dataValidations count="1">
    <dataValidation type="list" allowBlank="1" showInputMessage="1" showErrorMessage="1" sqref="F4:F213" xr:uid="{0F9C4E46-09D7-4041-9357-F3FB3FF6A946}">
      <formula1>$F$1:$F$2</formula1>
    </dataValidation>
  </dataValidations>
  <pageMargins left="0.7" right="0.7" top="0.75" bottom="0.75" header="0.3" footer="0.3"/>
  <pageSetup paperSize="66" scale="3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E6B3-2F6A-4028-8531-AFBE26B5E42D}">
  <sheetPr codeName="Sheet13">
    <pageSetUpPr fitToPage="1"/>
  </sheetPr>
  <dimension ref="A1:J232"/>
  <sheetViews>
    <sheetView zoomScale="55" zoomScaleNormal="55" zoomScaleSheetLayoutView="50" workbookViewId="0">
      <pane xSplit="1" ySplit="6" topLeftCell="B7" activePane="bottomRight" state="frozen"/>
      <selection activeCell="B49" sqref="B49"/>
      <selection pane="topRight" activeCell="B49" sqref="B49"/>
      <selection pane="bottomLeft" activeCell="B49" sqref="B49"/>
      <selection pane="bottomRight" sqref="A1:XFD1048576"/>
    </sheetView>
  </sheetViews>
  <sheetFormatPr defaultColWidth="10.58203125" defaultRowHeight="15.5" x14ac:dyDescent="0.35"/>
  <cols>
    <col min="1" max="1" width="11.5" style="17" bestFit="1" customWidth="1"/>
    <col min="2" max="2" width="92.58203125" style="1" bestFit="1" customWidth="1"/>
    <col min="3" max="3" width="115.08203125" style="1" bestFit="1" customWidth="1"/>
    <col min="4" max="4" width="19.25" style="1" bestFit="1" customWidth="1"/>
    <col min="5" max="5" width="11.5" style="1" bestFit="1" customWidth="1"/>
    <col min="6" max="6" width="24.5" style="1" bestFit="1" customWidth="1"/>
    <col min="7" max="7" width="120.58203125" style="221" customWidth="1"/>
    <col min="8" max="8" width="40.58203125" style="1" customWidth="1"/>
    <col min="9" max="16384" width="10.58203125" style="1"/>
  </cols>
  <sheetData>
    <row r="1" spans="1:10" s="3" customFormat="1" x14ac:dyDescent="0.35">
      <c r="A1" s="17"/>
      <c r="B1" s="2"/>
      <c r="C1" s="227"/>
      <c r="D1" s="227"/>
      <c r="E1" s="37"/>
      <c r="F1" s="8" t="s">
        <v>26</v>
      </c>
      <c r="G1" s="200"/>
    </row>
    <row r="2" spans="1:10" s="3" customFormat="1" x14ac:dyDescent="0.35">
      <c r="B2" s="1"/>
      <c r="F2" s="9" t="s">
        <v>79</v>
      </c>
      <c r="G2" s="200"/>
    </row>
    <row r="3" spans="1:10" s="3" customFormat="1" x14ac:dyDescent="0.35">
      <c r="A3" s="34" t="s">
        <v>403</v>
      </c>
      <c r="B3" s="175" t="s">
        <v>683</v>
      </c>
      <c r="C3" s="38" t="s">
        <v>376</v>
      </c>
      <c r="D3" s="33" t="s">
        <v>377</v>
      </c>
      <c r="E3" s="34" t="s">
        <v>378</v>
      </c>
      <c r="F3" s="33" t="s">
        <v>555</v>
      </c>
      <c r="G3" s="9"/>
      <c r="H3" s="34" t="s">
        <v>653</v>
      </c>
    </row>
    <row r="4" spans="1:10" x14ac:dyDescent="0.35">
      <c r="A4" s="90">
        <v>1</v>
      </c>
      <c r="B4" s="10" t="s">
        <v>685</v>
      </c>
      <c r="C4" s="10" t="s">
        <v>54</v>
      </c>
      <c r="D4" s="146"/>
      <c r="E4" s="146"/>
      <c r="F4" s="18" t="s">
        <v>26</v>
      </c>
      <c r="G4" s="201">
        <v>44986.380277777775</v>
      </c>
      <c r="H4" s="162"/>
      <c r="J4" s="2" t="b">
        <f>EXACT(G4,'Vh5205_C-80'!G4)</f>
        <v>0</v>
      </c>
    </row>
    <row r="5" spans="1:10" x14ac:dyDescent="0.35">
      <c r="A5" s="90">
        <v>2</v>
      </c>
      <c r="B5" s="10" t="s">
        <v>685</v>
      </c>
      <c r="C5" s="10" t="s">
        <v>55</v>
      </c>
      <c r="D5" s="146"/>
      <c r="E5" s="146"/>
      <c r="F5" s="19" t="s">
        <v>26</v>
      </c>
      <c r="G5" s="202">
        <v>44989.484444444439</v>
      </c>
      <c r="H5" s="58"/>
      <c r="J5" s="2" t="b">
        <f>EXACT(G5,'Vh5205_C-80'!G5)</f>
        <v>0</v>
      </c>
    </row>
    <row r="6" spans="1:10" x14ac:dyDescent="0.35">
      <c r="A6" s="90">
        <v>3</v>
      </c>
      <c r="B6" s="146" t="s">
        <v>685</v>
      </c>
      <c r="C6" s="146" t="s">
        <v>41</v>
      </c>
      <c r="D6" s="146"/>
      <c r="E6" s="146"/>
      <c r="F6" s="19" t="s">
        <v>26</v>
      </c>
      <c r="G6" s="161" t="s">
        <v>508</v>
      </c>
      <c r="H6" s="58"/>
      <c r="J6" s="2" t="b">
        <f>EXACT(G6,'Vh5205_C-80'!G6)</f>
        <v>0</v>
      </c>
    </row>
    <row r="7" spans="1:10" x14ac:dyDescent="0.35">
      <c r="A7" s="90">
        <v>4</v>
      </c>
      <c r="B7" s="146" t="s">
        <v>685</v>
      </c>
      <c r="C7" s="146" t="s">
        <v>7</v>
      </c>
      <c r="D7" s="146"/>
      <c r="E7" s="146"/>
      <c r="F7" s="19" t="s">
        <v>79</v>
      </c>
      <c r="G7" s="192" t="s">
        <v>499</v>
      </c>
      <c r="H7" s="53" t="s">
        <v>652</v>
      </c>
      <c r="J7" s="176" t="b">
        <f>EXACT(G7,'Vh5205_C-80'!G7)</f>
        <v>1</v>
      </c>
    </row>
    <row r="8" spans="1:10" x14ac:dyDescent="0.35">
      <c r="A8" s="90">
        <v>5</v>
      </c>
      <c r="B8" s="87" t="s">
        <v>685</v>
      </c>
      <c r="C8" s="87" t="s">
        <v>39</v>
      </c>
      <c r="D8" s="87"/>
      <c r="E8" s="87"/>
      <c r="F8" s="22" t="s">
        <v>79</v>
      </c>
      <c r="G8" s="194" t="s">
        <v>524</v>
      </c>
      <c r="H8" s="181" t="s">
        <v>652</v>
      </c>
      <c r="J8" s="176" t="b">
        <f>EXACT(G8,'Vh5205_C-80'!G8)</f>
        <v>1</v>
      </c>
    </row>
    <row r="9" spans="1:10" x14ac:dyDescent="0.35">
      <c r="A9" s="90">
        <v>6</v>
      </c>
      <c r="B9" s="10" t="s">
        <v>686</v>
      </c>
      <c r="C9" s="10" t="s">
        <v>301</v>
      </c>
      <c r="D9" s="10"/>
      <c r="E9" s="10"/>
      <c r="F9" s="19" t="s">
        <v>26</v>
      </c>
      <c r="G9" s="192" t="s">
        <v>196</v>
      </c>
      <c r="H9" s="163" t="s">
        <v>652</v>
      </c>
      <c r="J9" s="176" t="b">
        <f>EXACT(G9,'Vh5205_C-80'!G9)</f>
        <v>1</v>
      </c>
    </row>
    <row r="10" spans="1:10" x14ac:dyDescent="0.35">
      <c r="A10" s="90">
        <v>7</v>
      </c>
      <c r="B10" s="10" t="s">
        <v>686</v>
      </c>
      <c r="C10" s="10" t="s">
        <v>302</v>
      </c>
      <c r="D10" s="94"/>
      <c r="E10" s="146"/>
      <c r="F10" s="19" t="s">
        <v>26</v>
      </c>
      <c r="G10" s="161" t="s">
        <v>523</v>
      </c>
      <c r="H10" s="140" t="s">
        <v>652</v>
      </c>
      <c r="J10" s="176" t="b">
        <f>EXACT(G10,'Vh5205_C-80'!G10)</f>
        <v>1</v>
      </c>
    </row>
    <row r="11" spans="1:10" x14ac:dyDescent="0.35">
      <c r="A11" s="90">
        <v>8</v>
      </c>
      <c r="B11" s="146" t="s">
        <v>686</v>
      </c>
      <c r="C11" s="146" t="s">
        <v>134</v>
      </c>
      <c r="D11" s="146" t="s">
        <v>15</v>
      </c>
      <c r="E11" s="146" t="s">
        <v>85</v>
      </c>
      <c r="F11" s="19" t="s">
        <v>26</v>
      </c>
      <c r="G11" s="192" t="s">
        <v>197</v>
      </c>
      <c r="H11" s="53" t="s">
        <v>652</v>
      </c>
      <c r="J11" s="176" t="b">
        <f>EXACT(G11,'Vh5205_C-80'!G11)</f>
        <v>1</v>
      </c>
    </row>
    <row r="12" spans="1:10" x14ac:dyDescent="0.35">
      <c r="A12" s="90">
        <v>9</v>
      </c>
      <c r="B12" s="10" t="s">
        <v>686</v>
      </c>
      <c r="C12" s="10" t="s">
        <v>310</v>
      </c>
      <c r="D12" s="146"/>
      <c r="E12" s="146"/>
      <c r="F12" s="19" t="s">
        <v>26</v>
      </c>
      <c r="G12" s="192" t="s">
        <v>198</v>
      </c>
      <c r="H12" s="53" t="s">
        <v>652</v>
      </c>
      <c r="J12" s="176" t="b">
        <f>EXACT(G12,'Vh5205_C-80'!G12)</f>
        <v>1</v>
      </c>
    </row>
    <row r="13" spans="1:10" x14ac:dyDescent="0.35">
      <c r="A13" s="90">
        <v>10</v>
      </c>
      <c r="B13" s="10" t="s">
        <v>686</v>
      </c>
      <c r="C13" s="10" t="s">
        <v>311</v>
      </c>
      <c r="D13" s="146"/>
      <c r="E13" s="146"/>
      <c r="F13" s="19" t="s">
        <v>26</v>
      </c>
      <c r="G13" s="192" t="s">
        <v>199</v>
      </c>
      <c r="H13" s="53" t="s">
        <v>652</v>
      </c>
      <c r="J13" s="176" t="b">
        <f>EXACT(G13,'Vh5205_C-80'!G13)</f>
        <v>1</v>
      </c>
    </row>
    <row r="14" spans="1:10" ht="17.5" x14ac:dyDescent="0.35">
      <c r="A14" s="90">
        <v>11</v>
      </c>
      <c r="B14" s="10" t="s">
        <v>686</v>
      </c>
      <c r="C14" s="10" t="s">
        <v>123</v>
      </c>
      <c r="D14" s="146" t="s">
        <v>557</v>
      </c>
      <c r="E14" s="146" t="s">
        <v>4</v>
      </c>
      <c r="F14" s="19" t="s">
        <v>26</v>
      </c>
      <c r="G14" s="161">
        <v>230</v>
      </c>
      <c r="H14" s="140"/>
      <c r="J14" s="1" t="b">
        <f>EXACT(G14,'Vh5205_C-80'!G14)</f>
        <v>1</v>
      </c>
    </row>
    <row r="15" spans="1:10" x14ac:dyDescent="0.35">
      <c r="A15" s="90">
        <v>12</v>
      </c>
      <c r="B15" s="146" t="s">
        <v>686</v>
      </c>
      <c r="C15" s="146" t="s">
        <v>116</v>
      </c>
      <c r="D15" s="146"/>
      <c r="E15" s="146"/>
      <c r="F15" s="19" t="s">
        <v>26</v>
      </c>
      <c r="G15" s="161" t="s">
        <v>684</v>
      </c>
      <c r="H15" s="53" t="s">
        <v>652</v>
      </c>
      <c r="J15" s="176" t="b">
        <f>EXACT(G15,'Vh5205_C-80'!G15)</f>
        <v>1</v>
      </c>
    </row>
    <row r="16" spans="1:10" x14ac:dyDescent="0.35">
      <c r="A16" s="90">
        <v>13</v>
      </c>
      <c r="B16" s="10" t="s">
        <v>686</v>
      </c>
      <c r="C16" s="10" t="s">
        <v>408</v>
      </c>
      <c r="D16" s="146"/>
      <c r="E16" s="146"/>
      <c r="F16" s="19" t="s">
        <v>26</v>
      </c>
      <c r="G16" s="161" t="s">
        <v>519</v>
      </c>
      <c r="H16" s="140"/>
      <c r="J16" s="1" t="b">
        <f>EXACT(G16,'Vh5205_C-80'!G16)</f>
        <v>1</v>
      </c>
    </row>
    <row r="17" spans="1:10" x14ac:dyDescent="0.35">
      <c r="A17" s="90">
        <v>14</v>
      </c>
      <c r="B17" s="10" t="s">
        <v>686</v>
      </c>
      <c r="C17" s="10" t="s">
        <v>409</v>
      </c>
      <c r="D17" s="146"/>
      <c r="E17" s="146"/>
      <c r="F17" s="19" t="s">
        <v>26</v>
      </c>
      <c r="G17" s="161" t="s">
        <v>524</v>
      </c>
      <c r="H17" s="140"/>
      <c r="J17" s="1" t="b">
        <f>EXACT(G17,'Vh5205_C-80'!G17)</f>
        <v>1</v>
      </c>
    </row>
    <row r="18" spans="1:10" s="7" customFormat="1" x14ac:dyDescent="0.35">
      <c r="A18" s="90">
        <v>15</v>
      </c>
      <c r="B18" s="146" t="s">
        <v>686</v>
      </c>
      <c r="C18" s="146" t="s">
        <v>177</v>
      </c>
      <c r="D18" s="146"/>
      <c r="E18" s="146"/>
      <c r="F18" s="19" t="s">
        <v>26</v>
      </c>
      <c r="G18" s="161" t="s">
        <v>524</v>
      </c>
      <c r="H18" s="177"/>
      <c r="J18" s="1" t="b">
        <f>EXACT(G18,'Vh5205_C-80'!G18)</f>
        <v>1</v>
      </c>
    </row>
    <row r="19" spans="1:10" x14ac:dyDescent="0.35">
      <c r="A19" s="90">
        <v>16</v>
      </c>
      <c r="B19" s="10" t="s">
        <v>686</v>
      </c>
      <c r="C19" s="10" t="s">
        <v>124</v>
      </c>
      <c r="D19" s="146"/>
      <c r="E19" s="146" t="s">
        <v>0</v>
      </c>
      <c r="F19" s="19" t="s">
        <v>79</v>
      </c>
      <c r="G19" s="203"/>
      <c r="H19" s="140"/>
      <c r="J19" s="1" t="b">
        <f>EXACT(G19,'Vh5205_C-80'!G19)</f>
        <v>1</v>
      </c>
    </row>
    <row r="20" spans="1:10" x14ac:dyDescent="0.35">
      <c r="A20" s="90">
        <v>17</v>
      </c>
      <c r="B20" s="10" t="s">
        <v>686</v>
      </c>
      <c r="C20" s="10" t="s">
        <v>188</v>
      </c>
      <c r="D20" s="146"/>
      <c r="E20" s="146" t="s">
        <v>0</v>
      </c>
      <c r="F20" s="19" t="s">
        <v>26</v>
      </c>
      <c r="G20" s="193" t="s">
        <v>618</v>
      </c>
      <c r="H20" s="140" t="s">
        <v>652</v>
      </c>
      <c r="J20" s="176" t="b">
        <f>EXACT(G20,'Vh5205_C-80'!G20)</f>
        <v>1</v>
      </c>
    </row>
    <row r="21" spans="1:10" x14ac:dyDescent="0.35">
      <c r="A21" s="90">
        <v>18</v>
      </c>
      <c r="B21" s="13" t="s">
        <v>686</v>
      </c>
      <c r="C21" s="13" t="s">
        <v>131</v>
      </c>
      <c r="D21" s="87"/>
      <c r="E21" s="87"/>
      <c r="F21" s="22" t="s">
        <v>79</v>
      </c>
      <c r="G21" s="196"/>
      <c r="H21" s="182"/>
      <c r="J21" s="1" t="b">
        <f>EXACT(G21,'Vh5205_C-80'!G21)</f>
        <v>1</v>
      </c>
    </row>
    <row r="22" spans="1:10" x14ac:dyDescent="0.35">
      <c r="A22" s="90">
        <v>19</v>
      </c>
      <c r="B22" s="146" t="s">
        <v>687</v>
      </c>
      <c r="C22" s="146" t="s">
        <v>65</v>
      </c>
      <c r="D22" s="146"/>
      <c r="E22" s="146"/>
      <c r="F22" s="19" t="s">
        <v>79</v>
      </c>
      <c r="G22" s="192" t="s">
        <v>48</v>
      </c>
      <c r="H22" s="53" t="s">
        <v>652</v>
      </c>
      <c r="J22" s="176" t="b">
        <f>EXACT(G22,'Vh5205_C-80'!G22)</f>
        <v>1</v>
      </c>
    </row>
    <row r="23" spans="1:10" x14ac:dyDescent="0.35">
      <c r="A23" s="90">
        <v>20</v>
      </c>
      <c r="B23" s="146" t="s">
        <v>687</v>
      </c>
      <c r="C23" s="146" t="s">
        <v>69</v>
      </c>
      <c r="D23" s="146"/>
      <c r="E23" s="146"/>
      <c r="F23" s="19" t="s">
        <v>79</v>
      </c>
      <c r="G23" s="161"/>
      <c r="H23" s="140"/>
      <c r="J23" s="1" t="b">
        <f>EXACT(G23,'Vh5205_C-80'!G23)</f>
        <v>1</v>
      </c>
    </row>
    <row r="24" spans="1:10" x14ac:dyDescent="0.35">
      <c r="A24" s="90">
        <v>21</v>
      </c>
      <c r="B24" s="146" t="s">
        <v>687</v>
      </c>
      <c r="C24" s="146" t="s">
        <v>70</v>
      </c>
      <c r="D24" s="146"/>
      <c r="E24" s="146"/>
      <c r="F24" s="19" t="s">
        <v>79</v>
      </c>
      <c r="G24" s="161"/>
      <c r="H24" s="140"/>
      <c r="J24" s="1" t="b">
        <f>EXACT(G24,'Vh5205_C-80'!G24)</f>
        <v>1</v>
      </c>
    </row>
    <row r="25" spans="1:10" x14ac:dyDescent="0.35">
      <c r="A25" s="90">
        <v>22</v>
      </c>
      <c r="B25" s="146" t="s">
        <v>687</v>
      </c>
      <c r="C25" s="146" t="s">
        <v>71</v>
      </c>
      <c r="D25" s="146"/>
      <c r="E25" s="146"/>
      <c r="F25" s="19" t="s">
        <v>79</v>
      </c>
      <c r="G25" s="161"/>
      <c r="H25" s="140"/>
      <c r="J25" s="1" t="b">
        <f>EXACT(G25,'Vh5205_C-80'!G25)</f>
        <v>1</v>
      </c>
    </row>
    <row r="26" spans="1:10" x14ac:dyDescent="0.35">
      <c r="A26" s="90">
        <v>23</v>
      </c>
      <c r="B26" s="146" t="s">
        <v>687</v>
      </c>
      <c r="C26" s="146" t="s">
        <v>72</v>
      </c>
      <c r="D26" s="146"/>
      <c r="E26" s="146"/>
      <c r="F26" s="19" t="s">
        <v>79</v>
      </c>
      <c r="G26" s="161"/>
      <c r="H26" s="140"/>
      <c r="J26" s="1" t="b">
        <f>EXACT(G26,'Vh5205_C-80'!G26)</f>
        <v>1</v>
      </c>
    </row>
    <row r="27" spans="1:10" x14ac:dyDescent="0.35">
      <c r="A27" s="90">
        <v>24</v>
      </c>
      <c r="B27" s="146" t="s">
        <v>687</v>
      </c>
      <c r="C27" s="146" t="s">
        <v>81</v>
      </c>
      <c r="D27" s="146"/>
      <c r="E27" s="146"/>
      <c r="F27" s="19" t="s">
        <v>79</v>
      </c>
      <c r="G27" s="161"/>
      <c r="H27" s="140"/>
      <c r="J27" s="1" t="b">
        <f>EXACT(G27,'Vh5205_C-80'!G27)</f>
        <v>1</v>
      </c>
    </row>
    <row r="28" spans="1:10" x14ac:dyDescent="0.35">
      <c r="A28" s="90">
        <v>25</v>
      </c>
      <c r="B28" s="146" t="s">
        <v>687</v>
      </c>
      <c r="C28" s="146" t="s">
        <v>82</v>
      </c>
      <c r="D28" s="146"/>
      <c r="E28" s="146"/>
      <c r="F28" s="22" t="s">
        <v>79</v>
      </c>
      <c r="G28" s="196"/>
      <c r="H28" s="182"/>
      <c r="J28" s="1" t="b">
        <f>EXACT(G28,'Vh5205_C-80'!G28)</f>
        <v>1</v>
      </c>
    </row>
    <row r="29" spans="1:10" x14ac:dyDescent="0.35">
      <c r="A29" s="90">
        <v>26</v>
      </c>
      <c r="B29" s="99" t="s">
        <v>688</v>
      </c>
      <c r="C29" s="99" t="s">
        <v>312</v>
      </c>
      <c r="D29" s="100"/>
      <c r="E29" s="100"/>
      <c r="F29" s="18" t="s">
        <v>26</v>
      </c>
      <c r="G29" s="196" t="s">
        <v>200</v>
      </c>
      <c r="H29" s="182" t="s">
        <v>652</v>
      </c>
      <c r="J29" s="176" t="b">
        <f>EXACT(G29,'Vh5205_C-80'!G29)</f>
        <v>1</v>
      </c>
    </row>
    <row r="30" spans="1:10" x14ac:dyDescent="0.35">
      <c r="A30" s="90">
        <v>27</v>
      </c>
      <c r="B30" s="102" t="s">
        <v>689</v>
      </c>
      <c r="C30" s="102" t="s">
        <v>147</v>
      </c>
      <c r="D30" s="100"/>
      <c r="E30" s="100"/>
      <c r="F30" s="18" t="s">
        <v>79</v>
      </c>
      <c r="G30" s="161"/>
      <c r="H30" s="140"/>
      <c r="J30" s="1" t="b">
        <f>EXACT(G30,'Vh5205_C-80'!G30)</f>
        <v>1</v>
      </c>
    </row>
    <row r="31" spans="1:10" s="7" customFormat="1" ht="31" x14ac:dyDescent="0.35">
      <c r="A31" s="90">
        <v>28</v>
      </c>
      <c r="B31" s="10" t="s">
        <v>689</v>
      </c>
      <c r="C31" s="10" t="s">
        <v>324</v>
      </c>
      <c r="D31" s="146"/>
      <c r="E31" s="10"/>
      <c r="F31" s="19" t="s">
        <v>26</v>
      </c>
      <c r="G31" s="161" t="s">
        <v>460</v>
      </c>
      <c r="H31" s="177" t="s">
        <v>652</v>
      </c>
      <c r="J31" s="176" t="b">
        <f>EXACT(G31,'Vh5205_C-80'!G31)</f>
        <v>1</v>
      </c>
    </row>
    <row r="32" spans="1:10" s="7" customFormat="1" x14ac:dyDescent="0.35">
      <c r="A32" s="90">
        <v>29</v>
      </c>
      <c r="B32" s="10" t="s">
        <v>689</v>
      </c>
      <c r="C32" s="10" t="s">
        <v>303</v>
      </c>
      <c r="D32" s="146"/>
      <c r="E32" s="10"/>
      <c r="F32" s="19" t="s">
        <v>26</v>
      </c>
      <c r="G32" s="161" t="s">
        <v>461</v>
      </c>
      <c r="H32" s="177" t="s">
        <v>652</v>
      </c>
      <c r="J32" s="176" t="b">
        <f>EXACT(G32,'Vh5205_C-80'!G32)</f>
        <v>1</v>
      </c>
    </row>
    <row r="33" spans="1:10" ht="31" x14ac:dyDescent="0.35">
      <c r="A33" s="90">
        <v>30</v>
      </c>
      <c r="B33" s="10" t="s">
        <v>689</v>
      </c>
      <c r="C33" s="10" t="s">
        <v>304</v>
      </c>
      <c r="D33" s="146"/>
      <c r="E33" s="146"/>
      <c r="F33" s="19" t="s">
        <v>79</v>
      </c>
      <c r="G33" s="161" t="s">
        <v>285</v>
      </c>
      <c r="H33" s="140" t="s">
        <v>652</v>
      </c>
      <c r="J33" s="176" t="b">
        <f>EXACT(G33,'Vh5205_C-80'!G33)</f>
        <v>1</v>
      </c>
    </row>
    <row r="34" spans="1:10" x14ac:dyDescent="0.35">
      <c r="A34" s="90">
        <v>31</v>
      </c>
      <c r="B34" s="10" t="s">
        <v>689</v>
      </c>
      <c r="C34" s="10" t="s">
        <v>83</v>
      </c>
      <c r="D34" s="146"/>
      <c r="E34" s="146" t="s">
        <v>85</v>
      </c>
      <c r="F34" s="19" t="s">
        <v>79</v>
      </c>
      <c r="G34" s="192"/>
      <c r="H34" s="140"/>
      <c r="J34" s="1" t="b">
        <f>EXACT(G34,'Vh5205_C-80'!G34)</f>
        <v>1</v>
      </c>
    </row>
    <row r="35" spans="1:10" x14ac:dyDescent="0.35">
      <c r="A35" s="90">
        <v>32</v>
      </c>
      <c r="B35" s="10" t="s">
        <v>689</v>
      </c>
      <c r="C35" s="10" t="s">
        <v>84</v>
      </c>
      <c r="D35" s="146"/>
      <c r="E35" s="146"/>
      <c r="F35" s="19" t="s">
        <v>79</v>
      </c>
      <c r="G35" s="192"/>
      <c r="H35" s="140"/>
      <c r="J35" s="1" t="b">
        <f>EXACT(G35,'Vh5205_C-80'!G35)</f>
        <v>1</v>
      </c>
    </row>
    <row r="36" spans="1:10" x14ac:dyDescent="0.35">
      <c r="A36" s="90">
        <v>33</v>
      </c>
      <c r="B36" s="10" t="s">
        <v>689</v>
      </c>
      <c r="C36" s="10" t="s">
        <v>61</v>
      </c>
      <c r="D36" s="146"/>
      <c r="E36" s="146"/>
      <c r="F36" s="19" t="s">
        <v>26</v>
      </c>
      <c r="G36" s="192" t="s">
        <v>611</v>
      </c>
      <c r="H36" s="140" t="s">
        <v>652</v>
      </c>
      <c r="J36" s="176" t="b">
        <f>EXACT(G36,'Vh5205_C-80'!G36)</f>
        <v>1</v>
      </c>
    </row>
    <row r="37" spans="1:10" x14ac:dyDescent="0.35">
      <c r="A37" s="90">
        <v>34</v>
      </c>
      <c r="B37" s="13" t="s">
        <v>689</v>
      </c>
      <c r="C37" s="13" t="s">
        <v>56</v>
      </c>
      <c r="D37" s="146"/>
      <c r="E37" s="146"/>
      <c r="F37" s="22" t="s">
        <v>26</v>
      </c>
      <c r="G37" s="194" t="s">
        <v>201</v>
      </c>
      <c r="H37" s="182" t="s">
        <v>652</v>
      </c>
      <c r="J37" s="176" t="b">
        <f>EXACT(G37,'Vh5205_C-80'!G37)</f>
        <v>1</v>
      </c>
    </row>
    <row r="38" spans="1:10" s="7" customFormat="1" x14ac:dyDescent="0.35">
      <c r="A38" s="90">
        <v>35</v>
      </c>
      <c r="B38" s="10" t="s">
        <v>690</v>
      </c>
      <c r="C38" s="10" t="s">
        <v>77</v>
      </c>
      <c r="D38" s="100"/>
      <c r="E38" s="102"/>
      <c r="F38" s="19" t="s">
        <v>26</v>
      </c>
      <c r="G38" s="161" t="s">
        <v>278</v>
      </c>
      <c r="H38" s="177" t="s">
        <v>652</v>
      </c>
      <c r="J38" s="176" t="b">
        <f>EXACT(G38,'Vh5205_C-80'!G38)</f>
        <v>1</v>
      </c>
    </row>
    <row r="39" spans="1:10" s="7" customFormat="1" ht="61.5" customHeight="1" x14ac:dyDescent="0.35">
      <c r="A39" s="90">
        <v>36</v>
      </c>
      <c r="B39" s="10" t="s">
        <v>690</v>
      </c>
      <c r="C39" s="10" t="s">
        <v>560</v>
      </c>
      <c r="D39" s="146"/>
      <c r="E39" s="10"/>
      <c r="F39" s="19" t="s">
        <v>26</v>
      </c>
      <c r="G39" s="161" t="s">
        <v>716</v>
      </c>
      <c r="H39" s="177" t="s">
        <v>652</v>
      </c>
      <c r="J39" s="176" t="b">
        <f>EXACT(G39,'Vh5205_C-80'!G39)</f>
        <v>1</v>
      </c>
    </row>
    <row r="40" spans="1:10" s="7" customFormat="1" ht="31" x14ac:dyDescent="0.35">
      <c r="A40" s="90">
        <v>37</v>
      </c>
      <c r="B40" s="10" t="s">
        <v>690</v>
      </c>
      <c r="C40" s="10" t="s">
        <v>305</v>
      </c>
      <c r="D40" s="146"/>
      <c r="E40" s="10"/>
      <c r="F40" s="19" t="s">
        <v>26</v>
      </c>
      <c r="G40" s="161" t="s">
        <v>619</v>
      </c>
      <c r="H40" s="177" t="s">
        <v>652</v>
      </c>
      <c r="J40" s="176" t="b">
        <f>EXACT(G40,'Vh5205_C-80'!G40)</f>
        <v>1</v>
      </c>
    </row>
    <row r="41" spans="1:10" s="7" customFormat="1" x14ac:dyDescent="0.35">
      <c r="A41" s="90">
        <v>38</v>
      </c>
      <c r="B41" s="10" t="s">
        <v>690</v>
      </c>
      <c r="C41" s="10" t="s">
        <v>128</v>
      </c>
      <c r="D41" s="146"/>
      <c r="E41" s="10"/>
      <c r="F41" s="19" t="s">
        <v>26</v>
      </c>
      <c r="G41" s="195">
        <v>35458</v>
      </c>
      <c r="H41" s="177" t="s">
        <v>652</v>
      </c>
      <c r="J41" s="176" t="b">
        <f>EXACT(G41,'Vh5205_C-80'!G41)</f>
        <v>1</v>
      </c>
    </row>
    <row r="42" spans="1:10" s="7" customFormat="1" x14ac:dyDescent="0.35">
      <c r="A42" s="90">
        <v>39</v>
      </c>
      <c r="B42" s="10" t="s">
        <v>690</v>
      </c>
      <c r="C42" s="10" t="s">
        <v>129</v>
      </c>
      <c r="D42" s="146"/>
      <c r="E42" s="10"/>
      <c r="F42" s="19" t="s">
        <v>79</v>
      </c>
      <c r="G42" s="192"/>
      <c r="H42" s="177" t="s">
        <v>652</v>
      </c>
      <c r="J42" s="176" t="b">
        <f>EXACT(G42,'Vh5205_C-80'!G42)</f>
        <v>1</v>
      </c>
    </row>
    <row r="43" spans="1:10" s="7" customFormat="1" x14ac:dyDescent="0.35">
      <c r="A43" s="90">
        <v>40</v>
      </c>
      <c r="B43" s="13" t="s">
        <v>690</v>
      </c>
      <c r="C43" s="13" t="s">
        <v>130</v>
      </c>
      <c r="D43" s="87"/>
      <c r="E43" s="13"/>
      <c r="F43" s="22" t="s">
        <v>79</v>
      </c>
      <c r="G43" s="194"/>
      <c r="H43" s="180" t="s">
        <v>652</v>
      </c>
      <c r="J43" s="176" t="b">
        <f>EXACT(G43,'Vh5205_C-80'!G43)</f>
        <v>1</v>
      </c>
    </row>
    <row r="44" spans="1:10" x14ac:dyDescent="0.35">
      <c r="A44" s="90">
        <v>41</v>
      </c>
      <c r="B44" s="102" t="s">
        <v>691</v>
      </c>
      <c r="C44" s="102" t="s">
        <v>117</v>
      </c>
      <c r="D44" s="100"/>
      <c r="E44" s="100"/>
      <c r="F44" s="18" t="s">
        <v>26</v>
      </c>
      <c r="G44" s="161" t="s">
        <v>462</v>
      </c>
      <c r="H44" s="177" t="s">
        <v>652</v>
      </c>
      <c r="J44" s="176" t="b">
        <f>EXACT(G44,'Vh5205_C-80'!G44)</f>
        <v>1</v>
      </c>
    </row>
    <row r="45" spans="1:10" s="7" customFormat="1" x14ac:dyDescent="0.35">
      <c r="A45" s="90">
        <v>42</v>
      </c>
      <c r="B45" s="10" t="s">
        <v>691</v>
      </c>
      <c r="C45" s="10" t="s">
        <v>87</v>
      </c>
      <c r="D45" s="146"/>
      <c r="E45" s="10"/>
      <c r="F45" s="19" t="s">
        <v>79</v>
      </c>
      <c r="G45" s="192" t="s">
        <v>196</v>
      </c>
      <c r="H45" s="177" t="s">
        <v>652</v>
      </c>
      <c r="J45" s="176" t="b">
        <f>EXACT(G45,'Vh5205_C-80'!G45)</f>
        <v>1</v>
      </c>
    </row>
    <row r="46" spans="1:10" s="7" customFormat="1" x14ac:dyDescent="0.35">
      <c r="A46" s="90">
        <v>43</v>
      </c>
      <c r="B46" s="10" t="s">
        <v>691</v>
      </c>
      <c r="C46" s="10" t="s">
        <v>88</v>
      </c>
      <c r="D46" s="146"/>
      <c r="E46" s="10"/>
      <c r="F46" s="19" t="s">
        <v>79</v>
      </c>
      <c r="G46" s="192" t="s">
        <v>196</v>
      </c>
      <c r="H46" s="177" t="s">
        <v>652</v>
      </c>
      <c r="J46" s="176" t="b">
        <f>EXACT(G46,'Vh5205_C-80'!G46)</f>
        <v>1</v>
      </c>
    </row>
    <row r="47" spans="1:10" s="7" customFormat="1" x14ac:dyDescent="0.35">
      <c r="A47" s="90">
        <v>44</v>
      </c>
      <c r="B47" s="10" t="s">
        <v>691</v>
      </c>
      <c r="C47" s="10" t="s">
        <v>60</v>
      </c>
      <c r="D47" s="146"/>
      <c r="E47" s="10"/>
      <c r="F47" s="19" t="s">
        <v>79</v>
      </c>
      <c r="G47" s="192" t="s">
        <v>500</v>
      </c>
      <c r="H47" s="177" t="s">
        <v>652</v>
      </c>
      <c r="J47" s="176" t="b">
        <f>EXACT(G47,'Vh5205_C-80'!G47)</f>
        <v>1</v>
      </c>
    </row>
    <row r="48" spans="1:10" x14ac:dyDescent="0.35">
      <c r="A48" s="90">
        <v>45</v>
      </c>
      <c r="B48" s="10" t="s">
        <v>691</v>
      </c>
      <c r="C48" s="10" t="s">
        <v>90</v>
      </c>
      <c r="D48" s="146"/>
      <c r="E48" s="146"/>
      <c r="F48" s="19" t="s">
        <v>26</v>
      </c>
      <c r="G48" s="161" t="s">
        <v>649</v>
      </c>
      <c r="H48" s="177" t="s">
        <v>652</v>
      </c>
      <c r="J48" s="176" t="b">
        <f>EXACT(G48,'Vh5205_C-80'!G48)</f>
        <v>1</v>
      </c>
    </row>
    <row r="49" spans="1:10" x14ac:dyDescent="0.35">
      <c r="A49" s="90">
        <v>46</v>
      </c>
      <c r="B49" s="10" t="s">
        <v>691</v>
      </c>
      <c r="C49" s="10" t="s">
        <v>91</v>
      </c>
      <c r="D49" s="146"/>
      <c r="E49" s="146"/>
      <c r="F49" s="19" t="s">
        <v>26</v>
      </c>
      <c r="G49" s="161" t="s">
        <v>649</v>
      </c>
      <c r="H49" s="177" t="s">
        <v>652</v>
      </c>
      <c r="J49" s="176" t="b">
        <f>EXACT(G49,'Vh5205_C-80'!G49)</f>
        <v>1</v>
      </c>
    </row>
    <row r="50" spans="1:10" x14ac:dyDescent="0.35">
      <c r="A50" s="90">
        <v>47</v>
      </c>
      <c r="B50" s="13" t="s">
        <v>691</v>
      </c>
      <c r="C50" s="13" t="s">
        <v>86</v>
      </c>
      <c r="D50" s="87"/>
      <c r="E50" s="87"/>
      <c r="F50" s="22" t="s">
        <v>79</v>
      </c>
      <c r="G50" s="194"/>
      <c r="H50" s="180"/>
      <c r="J50" s="1" t="b">
        <f>EXACT(G50,'Vh5205_C-80'!G50)</f>
        <v>1</v>
      </c>
    </row>
    <row r="51" spans="1:10" s="7" customFormat="1" x14ac:dyDescent="0.35">
      <c r="A51" s="90">
        <v>48</v>
      </c>
      <c r="B51" s="10" t="s">
        <v>692</v>
      </c>
      <c r="C51" s="10" t="s">
        <v>95</v>
      </c>
      <c r="D51" s="146"/>
      <c r="E51" s="10" t="s">
        <v>92</v>
      </c>
      <c r="F51" s="19" t="s">
        <v>26</v>
      </c>
      <c r="G51" s="161" t="s">
        <v>680</v>
      </c>
      <c r="H51" s="177" t="s">
        <v>652</v>
      </c>
      <c r="J51" s="176" t="b">
        <f>EXACT(G51,'Vh5205_C-80'!G51)</f>
        <v>1</v>
      </c>
    </row>
    <row r="52" spans="1:10" s="7" customFormat="1" x14ac:dyDescent="0.35">
      <c r="A52" s="90">
        <v>49</v>
      </c>
      <c r="B52" s="10" t="s">
        <v>692</v>
      </c>
      <c r="C52" s="10" t="s">
        <v>96</v>
      </c>
      <c r="D52" s="146"/>
      <c r="E52" s="10" t="s">
        <v>92</v>
      </c>
      <c r="F52" s="19" t="s">
        <v>26</v>
      </c>
      <c r="G52" s="161" t="s">
        <v>681</v>
      </c>
      <c r="H52" s="177" t="s">
        <v>652</v>
      </c>
      <c r="J52" s="176" t="b">
        <f>EXACT(G52,'Vh5205_C-80'!G52)</f>
        <v>1</v>
      </c>
    </row>
    <row r="53" spans="1:10" s="7" customFormat="1" x14ac:dyDescent="0.35">
      <c r="A53" s="90">
        <v>50</v>
      </c>
      <c r="B53" s="10" t="s">
        <v>692</v>
      </c>
      <c r="C53" s="10" t="s">
        <v>149</v>
      </c>
      <c r="D53" s="146"/>
      <c r="E53" s="10"/>
      <c r="F53" s="19" t="s">
        <v>26</v>
      </c>
      <c r="G53" s="161" t="s">
        <v>681</v>
      </c>
      <c r="H53" s="177" t="s">
        <v>652</v>
      </c>
      <c r="J53" s="176" t="b">
        <f>EXACT(G53,'Vh5205_C-80'!G53)</f>
        <v>1</v>
      </c>
    </row>
    <row r="54" spans="1:10" s="7" customFormat="1" x14ac:dyDescent="0.35">
      <c r="A54" s="90">
        <v>51</v>
      </c>
      <c r="B54" s="10" t="s">
        <v>692</v>
      </c>
      <c r="C54" s="10" t="s">
        <v>148</v>
      </c>
      <c r="D54" s="10"/>
      <c r="E54" s="10"/>
      <c r="F54" s="19" t="s">
        <v>79</v>
      </c>
      <c r="G54" s="161" t="s">
        <v>467</v>
      </c>
      <c r="H54" s="177" t="s">
        <v>652</v>
      </c>
      <c r="J54" s="176" t="b">
        <f>EXACT(G54,'Vh5205_C-80'!G54)</f>
        <v>1</v>
      </c>
    </row>
    <row r="55" spans="1:10" s="7" customFormat="1" x14ac:dyDescent="0.35">
      <c r="A55" s="90">
        <v>52</v>
      </c>
      <c r="B55" s="10" t="s">
        <v>692</v>
      </c>
      <c r="C55" s="10" t="s">
        <v>100</v>
      </c>
      <c r="D55" s="146"/>
      <c r="E55" s="10"/>
      <c r="F55" s="19" t="s">
        <v>79</v>
      </c>
      <c r="G55" s="192"/>
      <c r="H55" s="177"/>
      <c r="J55" s="1" t="b">
        <f>EXACT(G55,'Vh5205_C-80'!G55)</f>
        <v>1</v>
      </c>
    </row>
    <row r="56" spans="1:10" s="7" customFormat="1" x14ac:dyDescent="0.35">
      <c r="A56" s="90">
        <v>53</v>
      </c>
      <c r="B56" s="13" t="s">
        <v>692</v>
      </c>
      <c r="C56" s="13" t="s">
        <v>101</v>
      </c>
      <c r="D56" s="87"/>
      <c r="E56" s="13"/>
      <c r="F56" s="22" t="s">
        <v>79</v>
      </c>
      <c r="G56" s="194"/>
      <c r="H56" s="180"/>
      <c r="J56" s="1" t="b">
        <f>EXACT(G56,'Vh5205_C-80'!G56)</f>
        <v>1</v>
      </c>
    </row>
    <row r="57" spans="1:10" s="7" customFormat="1" x14ac:dyDescent="0.35">
      <c r="A57" s="90">
        <v>54</v>
      </c>
      <c r="B57" s="102" t="s">
        <v>693</v>
      </c>
      <c r="C57" s="102" t="s">
        <v>93</v>
      </c>
      <c r="D57" s="146"/>
      <c r="E57" s="10"/>
      <c r="F57" s="19" t="s">
        <v>26</v>
      </c>
      <c r="G57" s="161" t="s">
        <v>483</v>
      </c>
      <c r="H57" s="177" t="s">
        <v>652</v>
      </c>
      <c r="J57" s="176" t="b">
        <f>EXACT(G57,'Vh5205_C-80'!G57)</f>
        <v>1</v>
      </c>
    </row>
    <row r="58" spans="1:10" s="7" customFormat="1" x14ac:dyDescent="0.35">
      <c r="A58" s="90">
        <v>55</v>
      </c>
      <c r="B58" s="10" t="s">
        <v>693</v>
      </c>
      <c r="C58" s="10" t="s">
        <v>104</v>
      </c>
      <c r="D58" s="146"/>
      <c r="E58" s="10" t="s">
        <v>51</v>
      </c>
      <c r="F58" s="19" t="s">
        <v>26</v>
      </c>
      <c r="G58" s="161" t="s">
        <v>524</v>
      </c>
      <c r="H58" s="177" t="s">
        <v>652</v>
      </c>
      <c r="J58" s="176" t="b">
        <f>EXACT(G58,'Vh5205_C-80'!G58)</f>
        <v>1</v>
      </c>
    </row>
    <row r="59" spans="1:10" s="7" customFormat="1" x14ac:dyDescent="0.35">
      <c r="A59" s="90">
        <v>56</v>
      </c>
      <c r="B59" s="104" t="s">
        <v>693</v>
      </c>
      <c r="C59" s="104" t="s">
        <v>418</v>
      </c>
      <c r="D59" s="104"/>
      <c r="E59" s="104"/>
      <c r="F59" s="19" t="s">
        <v>26</v>
      </c>
      <c r="G59" s="161" t="s">
        <v>524</v>
      </c>
      <c r="H59" s="177" t="s">
        <v>652</v>
      </c>
      <c r="J59" s="176" t="b">
        <f>EXACT(G59,'Vh5205_C-80'!G59)</f>
        <v>1</v>
      </c>
    </row>
    <row r="60" spans="1:10" s="7" customFormat="1" x14ac:dyDescent="0.35">
      <c r="A60" s="90">
        <v>57</v>
      </c>
      <c r="B60" s="10" t="s">
        <v>693</v>
      </c>
      <c r="C60" s="10" t="s">
        <v>103</v>
      </c>
      <c r="D60" s="146"/>
      <c r="E60" s="10"/>
      <c r="F60" s="19" t="s">
        <v>79</v>
      </c>
      <c r="G60" s="161" t="s">
        <v>524</v>
      </c>
      <c r="H60" s="177" t="s">
        <v>652</v>
      </c>
      <c r="J60" s="176" t="b">
        <f>EXACT(G60,'Vh5205_C-80'!G60)</f>
        <v>1</v>
      </c>
    </row>
    <row r="61" spans="1:10" s="7" customFormat="1" x14ac:dyDescent="0.35">
      <c r="A61" s="90">
        <v>58</v>
      </c>
      <c r="B61" s="10" t="s">
        <v>693</v>
      </c>
      <c r="C61" s="10" t="s">
        <v>125</v>
      </c>
      <c r="D61" s="146"/>
      <c r="E61" s="10" t="s">
        <v>1</v>
      </c>
      <c r="F61" s="19" t="s">
        <v>79</v>
      </c>
      <c r="G61" s="161"/>
      <c r="H61" s="177"/>
      <c r="J61" s="2" t="b">
        <f>EXACT(G61,'Vh5205_C-80'!G61)</f>
        <v>1</v>
      </c>
    </row>
    <row r="62" spans="1:10" s="7" customFormat="1" x14ac:dyDescent="0.35">
      <c r="A62" s="90">
        <v>59</v>
      </c>
      <c r="B62" s="10" t="s">
        <v>693</v>
      </c>
      <c r="C62" s="10" t="s">
        <v>62</v>
      </c>
      <c r="D62" s="146"/>
      <c r="E62" s="10" t="s">
        <v>51</v>
      </c>
      <c r="F62" s="19" t="s">
        <v>79</v>
      </c>
      <c r="G62" s="161"/>
      <c r="H62" s="177"/>
      <c r="J62" s="1" t="b">
        <f>EXACT(G62,'Vh5205_C-80'!G62)</f>
        <v>1</v>
      </c>
    </row>
    <row r="63" spans="1:10" s="7" customFormat="1" x14ac:dyDescent="0.35">
      <c r="A63" s="90">
        <v>60</v>
      </c>
      <c r="B63" s="10" t="s">
        <v>693</v>
      </c>
      <c r="C63" s="10" t="s">
        <v>63</v>
      </c>
      <c r="D63" s="146"/>
      <c r="E63" s="10" t="s">
        <v>51</v>
      </c>
      <c r="F63" s="19" t="s">
        <v>79</v>
      </c>
      <c r="G63" s="161"/>
      <c r="H63" s="177"/>
      <c r="J63" s="1" t="b">
        <f>EXACT(G63,'Vh5205_C-80'!G63)</f>
        <v>1</v>
      </c>
    </row>
    <row r="64" spans="1:10" s="7" customFormat="1" x14ac:dyDescent="0.35">
      <c r="A64" s="90">
        <v>61</v>
      </c>
      <c r="B64" s="10" t="s">
        <v>693</v>
      </c>
      <c r="C64" s="10" t="s">
        <v>126</v>
      </c>
      <c r="D64" s="146"/>
      <c r="E64" s="10"/>
      <c r="F64" s="19" t="s">
        <v>79</v>
      </c>
      <c r="G64" s="161"/>
      <c r="H64" s="177"/>
      <c r="J64" s="1" t="b">
        <f>EXACT(G64,'Vh5205_C-80'!G64)</f>
        <v>1</v>
      </c>
    </row>
    <row r="65" spans="1:10" s="7" customFormat="1" x14ac:dyDescent="0.35">
      <c r="A65" s="90">
        <v>62</v>
      </c>
      <c r="B65" s="10" t="s">
        <v>693</v>
      </c>
      <c r="C65" s="10" t="s">
        <v>52</v>
      </c>
      <c r="D65" s="146"/>
      <c r="E65" s="10"/>
      <c r="F65" s="19" t="s">
        <v>79</v>
      </c>
      <c r="G65" s="161"/>
      <c r="H65" s="177"/>
      <c r="J65" s="1" t="b">
        <f>EXACT(G65,'Vh5205_C-80'!G65)</f>
        <v>1</v>
      </c>
    </row>
    <row r="66" spans="1:10" s="7" customFormat="1" x14ac:dyDescent="0.35">
      <c r="A66" s="90">
        <v>63</v>
      </c>
      <c r="B66" s="10" t="s">
        <v>693</v>
      </c>
      <c r="C66" s="10" t="s">
        <v>189</v>
      </c>
      <c r="D66" s="146"/>
      <c r="E66" s="10"/>
      <c r="F66" s="19" t="s">
        <v>79</v>
      </c>
      <c r="G66" s="161" t="s">
        <v>682</v>
      </c>
      <c r="H66" s="177" t="s">
        <v>652</v>
      </c>
      <c r="J66" s="176" t="b">
        <f>EXACT(G66,'Vh5205_C-80'!G66)</f>
        <v>1</v>
      </c>
    </row>
    <row r="67" spans="1:10" s="7" customFormat="1" x14ac:dyDescent="0.35">
      <c r="A67" s="90">
        <v>64</v>
      </c>
      <c r="B67" s="10" t="s">
        <v>693</v>
      </c>
      <c r="C67" s="10" t="s">
        <v>190</v>
      </c>
      <c r="D67" s="146"/>
      <c r="E67" s="10"/>
      <c r="F67" s="19" t="s">
        <v>79</v>
      </c>
      <c r="G67" s="192"/>
      <c r="H67" s="177"/>
      <c r="J67" s="1" t="b">
        <f>EXACT(G67,'Vh5205_C-80'!G67)</f>
        <v>1</v>
      </c>
    </row>
    <row r="68" spans="1:10" s="7" customFormat="1" x14ac:dyDescent="0.35">
      <c r="A68" s="90">
        <v>65</v>
      </c>
      <c r="B68" s="10" t="s">
        <v>693</v>
      </c>
      <c r="C68" s="10" t="s">
        <v>382</v>
      </c>
      <c r="D68" s="146"/>
      <c r="E68" s="10"/>
      <c r="F68" s="19" t="s">
        <v>79</v>
      </c>
      <c r="G68" s="161" t="s">
        <v>620</v>
      </c>
      <c r="H68" s="177" t="s">
        <v>652</v>
      </c>
      <c r="J68" s="176" t="b">
        <f>EXACT(G68,'Vh5205_C-80'!G68)</f>
        <v>1</v>
      </c>
    </row>
    <row r="69" spans="1:10" s="7" customFormat="1" ht="31" x14ac:dyDescent="0.35">
      <c r="A69" s="90">
        <v>66</v>
      </c>
      <c r="B69" s="10" t="s">
        <v>693</v>
      </c>
      <c r="C69" s="10" t="s">
        <v>419</v>
      </c>
      <c r="D69" s="146"/>
      <c r="E69" s="10" t="s">
        <v>480</v>
      </c>
      <c r="F69" s="19" t="s">
        <v>26</v>
      </c>
      <c r="G69" s="161" t="s">
        <v>650</v>
      </c>
      <c r="H69" s="177" t="s">
        <v>652</v>
      </c>
      <c r="J69" s="176" t="b">
        <f>EXACT(G69,'Vh5205_C-80'!G69)</f>
        <v>1</v>
      </c>
    </row>
    <row r="70" spans="1:10" s="7" customFormat="1" ht="31" x14ac:dyDescent="0.35">
      <c r="A70" s="90">
        <v>67</v>
      </c>
      <c r="B70" s="104" t="s">
        <v>693</v>
      </c>
      <c r="C70" s="104" t="s">
        <v>420</v>
      </c>
      <c r="D70" s="104"/>
      <c r="E70" s="104"/>
      <c r="F70" s="19" t="s">
        <v>26</v>
      </c>
      <c r="G70" s="161" t="s">
        <v>717</v>
      </c>
      <c r="H70" s="177" t="s">
        <v>652</v>
      </c>
      <c r="J70" s="176" t="b">
        <f>EXACT(G70,'Vh5205_C-80'!G70)</f>
        <v>1</v>
      </c>
    </row>
    <row r="71" spans="1:10" s="7" customFormat="1" x14ac:dyDescent="0.35">
      <c r="A71" s="90">
        <v>68</v>
      </c>
      <c r="B71" s="104" t="s">
        <v>693</v>
      </c>
      <c r="C71" s="104" t="s">
        <v>421</v>
      </c>
      <c r="D71" s="107"/>
      <c r="E71" s="107"/>
      <c r="F71" s="22" t="s">
        <v>79</v>
      </c>
      <c r="G71" s="196"/>
      <c r="H71" s="180"/>
      <c r="J71" s="1" t="b">
        <f>EXACT(G71,'Vh5205_C-80'!G71)</f>
        <v>1</v>
      </c>
    </row>
    <row r="72" spans="1:10" s="7" customFormat="1" x14ac:dyDescent="0.35">
      <c r="A72" s="90">
        <v>69</v>
      </c>
      <c r="B72" s="102" t="s">
        <v>694</v>
      </c>
      <c r="C72" s="102" t="s">
        <v>422</v>
      </c>
      <c r="D72" s="10"/>
      <c r="E72" s="10"/>
      <c r="F72" s="19" t="s">
        <v>79</v>
      </c>
      <c r="G72" s="161"/>
      <c r="H72" s="177"/>
      <c r="J72" s="1" t="b">
        <f>EXACT(G72,'Vh5205_C-80'!G72)</f>
        <v>1</v>
      </c>
    </row>
    <row r="73" spans="1:10" s="7" customFormat="1" x14ac:dyDescent="0.35">
      <c r="A73" s="90">
        <v>70</v>
      </c>
      <c r="B73" s="13" t="s">
        <v>694</v>
      </c>
      <c r="C73" s="13" t="s">
        <v>102</v>
      </c>
      <c r="D73" s="87"/>
      <c r="E73" s="13"/>
      <c r="F73" s="22" t="s">
        <v>79</v>
      </c>
      <c r="G73" s="196"/>
      <c r="H73" s="180"/>
      <c r="J73" s="1" t="b">
        <f>EXACT(G73,'Vh5205_C-80'!G73)</f>
        <v>1</v>
      </c>
    </row>
    <row r="74" spans="1:10" s="7" customFormat="1" x14ac:dyDescent="0.35">
      <c r="A74" s="90">
        <v>71</v>
      </c>
      <c r="B74" s="10" t="s">
        <v>695</v>
      </c>
      <c r="C74" s="10" t="s">
        <v>127</v>
      </c>
      <c r="D74" s="146"/>
      <c r="E74" s="10" t="s">
        <v>4</v>
      </c>
      <c r="F74" s="19" t="s">
        <v>79</v>
      </c>
      <c r="G74" s="161"/>
      <c r="H74" s="177"/>
      <c r="J74" s="1" t="b">
        <f>EXACT(G74,'Vh5205_C-80'!G74)</f>
        <v>1</v>
      </c>
    </row>
    <row r="75" spans="1:10" s="7" customFormat="1" x14ac:dyDescent="0.35">
      <c r="A75" s="90">
        <v>72</v>
      </c>
      <c r="B75" s="10" t="s">
        <v>695</v>
      </c>
      <c r="C75" s="10" t="s">
        <v>298</v>
      </c>
      <c r="D75" s="146"/>
      <c r="E75" s="10" t="s">
        <v>4</v>
      </c>
      <c r="F75" s="19" t="s">
        <v>79</v>
      </c>
      <c r="G75" s="192" t="s">
        <v>655</v>
      </c>
      <c r="H75" s="177" t="s">
        <v>652</v>
      </c>
      <c r="J75" s="176" t="b">
        <f>EXACT(G75,'Vh5205_C-80'!G75)</f>
        <v>1</v>
      </c>
    </row>
    <row r="76" spans="1:10" s="7" customFormat="1" x14ac:dyDescent="0.35">
      <c r="A76" s="90">
        <v>73</v>
      </c>
      <c r="B76" s="10" t="s">
        <v>695</v>
      </c>
      <c r="C76" s="10" t="s">
        <v>115</v>
      </c>
      <c r="D76" s="146"/>
      <c r="E76" s="10"/>
      <c r="F76" s="22" t="s">
        <v>79</v>
      </c>
      <c r="G76" s="196"/>
      <c r="H76" s="180"/>
      <c r="J76" s="1" t="b">
        <f>EXACT(G76,'Vh5205_C-80'!G76)</f>
        <v>1</v>
      </c>
    </row>
    <row r="77" spans="1:10" x14ac:dyDescent="0.35">
      <c r="A77" s="90">
        <v>74</v>
      </c>
      <c r="B77" s="100" t="s">
        <v>696</v>
      </c>
      <c r="C77" s="100" t="s">
        <v>43</v>
      </c>
      <c r="D77" s="100"/>
      <c r="E77" s="100"/>
      <c r="F77" s="19" t="s">
        <v>79</v>
      </c>
      <c r="G77" s="161" t="s">
        <v>508</v>
      </c>
      <c r="H77" s="140"/>
      <c r="J77" s="1" t="b">
        <f>EXACT(G77,'Vh5205_C-80'!G77)</f>
        <v>0</v>
      </c>
    </row>
    <row r="78" spans="1:10" x14ac:dyDescent="0.35">
      <c r="A78" s="90">
        <v>75</v>
      </c>
      <c r="B78" s="146" t="s">
        <v>696</v>
      </c>
      <c r="C78" s="146" t="s">
        <v>114</v>
      </c>
      <c r="D78" s="146"/>
      <c r="E78" s="146"/>
      <c r="F78" s="19" t="s">
        <v>79</v>
      </c>
      <c r="G78" s="161"/>
      <c r="H78" s="140"/>
      <c r="J78" s="1" t="b">
        <f>EXACT(G78,'Vh5205_C-80'!G78)</f>
        <v>1</v>
      </c>
    </row>
    <row r="79" spans="1:10" x14ac:dyDescent="0.35">
      <c r="A79" s="90">
        <v>76</v>
      </c>
      <c r="B79" s="10" t="s">
        <v>696</v>
      </c>
      <c r="C79" s="10" t="s">
        <v>338</v>
      </c>
      <c r="D79" s="146"/>
      <c r="E79" s="146"/>
      <c r="F79" s="19" t="s">
        <v>79</v>
      </c>
      <c r="G79" s="192" t="s">
        <v>615</v>
      </c>
      <c r="H79" s="140" t="s">
        <v>652</v>
      </c>
      <c r="J79" s="176" t="b">
        <f>EXACT(G79,'Vh5205_C-80'!G79)</f>
        <v>1</v>
      </c>
    </row>
    <row r="80" spans="1:10" x14ac:dyDescent="0.35">
      <c r="A80" s="90">
        <v>77</v>
      </c>
      <c r="B80" s="10" t="s">
        <v>696</v>
      </c>
      <c r="C80" s="10" t="s">
        <v>150</v>
      </c>
      <c r="D80" s="146"/>
      <c r="E80" s="146"/>
      <c r="F80" s="19" t="s">
        <v>26</v>
      </c>
      <c r="G80" s="192" t="s">
        <v>612</v>
      </c>
      <c r="H80" s="140" t="s">
        <v>652</v>
      </c>
      <c r="J80" s="176" t="b">
        <f>EXACT(G80,'Vh5205_C-80'!G80)</f>
        <v>1</v>
      </c>
    </row>
    <row r="81" spans="1:10" x14ac:dyDescent="0.35">
      <c r="A81" s="90">
        <v>78</v>
      </c>
      <c r="B81" s="10" t="s">
        <v>696</v>
      </c>
      <c r="C81" s="10" t="s">
        <v>152</v>
      </c>
      <c r="D81" s="146"/>
      <c r="E81" s="146"/>
      <c r="F81" s="19" t="s">
        <v>26</v>
      </c>
      <c r="G81" s="192" t="s">
        <v>267</v>
      </c>
      <c r="H81" s="140" t="s">
        <v>652</v>
      </c>
      <c r="J81" s="176" t="b">
        <f>EXACT(G81,'Vh5205_C-80'!G81)</f>
        <v>1</v>
      </c>
    </row>
    <row r="82" spans="1:10" x14ac:dyDescent="0.35">
      <c r="A82" s="90">
        <v>79</v>
      </c>
      <c r="B82" s="10" t="s">
        <v>696</v>
      </c>
      <c r="C82" s="10" t="s">
        <v>153</v>
      </c>
      <c r="D82" s="146"/>
      <c r="E82" s="146"/>
      <c r="F82" s="19" t="s">
        <v>26</v>
      </c>
      <c r="G82" s="192" t="s">
        <v>268</v>
      </c>
      <c r="H82" s="140" t="s">
        <v>652</v>
      </c>
      <c r="J82" s="176" t="b">
        <f>EXACT(G82,'Vh5205_C-80'!G82)</f>
        <v>1</v>
      </c>
    </row>
    <row r="83" spans="1:10" ht="31" x14ac:dyDescent="0.35">
      <c r="A83" s="90">
        <v>80</v>
      </c>
      <c r="B83" s="10" t="s">
        <v>696</v>
      </c>
      <c r="C83" s="10" t="s">
        <v>9</v>
      </c>
      <c r="D83" s="146"/>
      <c r="E83" s="146"/>
      <c r="F83" s="19" t="s">
        <v>26</v>
      </c>
      <c r="G83" s="161" t="s">
        <v>715</v>
      </c>
      <c r="H83" s="140" t="s">
        <v>652</v>
      </c>
      <c r="J83" s="176" t="b">
        <f>EXACT(G83,'Vh5205_C-80'!G83)</f>
        <v>1</v>
      </c>
    </row>
    <row r="84" spans="1:10" x14ac:dyDescent="0.35">
      <c r="A84" s="90">
        <v>81</v>
      </c>
      <c r="B84" s="10" t="s">
        <v>696</v>
      </c>
      <c r="C84" s="10" t="s">
        <v>339</v>
      </c>
      <c r="D84" s="146"/>
      <c r="E84" s="146"/>
      <c r="F84" s="19" t="s">
        <v>26</v>
      </c>
      <c r="G84" s="161" t="s">
        <v>718</v>
      </c>
      <c r="H84" s="140" t="s">
        <v>652</v>
      </c>
      <c r="J84" s="176" t="b">
        <f>EXACT(G84,'Vh5205_C-80'!G84)</f>
        <v>1</v>
      </c>
    </row>
    <row r="85" spans="1:10" ht="31" x14ac:dyDescent="0.35">
      <c r="A85" s="90">
        <v>82</v>
      </c>
      <c r="B85" s="10" t="s">
        <v>696</v>
      </c>
      <c r="C85" s="10" t="s">
        <v>573</v>
      </c>
      <c r="D85" s="146"/>
      <c r="E85" s="146"/>
      <c r="F85" s="19" t="s">
        <v>26</v>
      </c>
      <c r="G85" s="161" t="s">
        <v>537</v>
      </c>
      <c r="H85" s="140" t="s">
        <v>652</v>
      </c>
      <c r="J85" s="176" t="b">
        <f>EXACT(G85,'Vh5205_C-80'!G85)</f>
        <v>1</v>
      </c>
    </row>
    <row r="86" spans="1:10" s="7" customFormat="1" ht="53.5" customHeight="1" x14ac:dyDescent="0.35">
      <c r="A86" s="90">
        <v>83</v>
      </c>
      <c r="B86" s="13" t="s">
        <v>696</v>
      </c>
      <c r="C86" s="13" t="s">
        <v>133</v>
      </c>
      <c r="D86" s="87"/>
      <c r="E86" s="87" t="s">
        <v>51</v>
      </c>
      <c r="F86" s="22" t="s">
        <v>79</v>
      </c>
      <c r="G86" s="196" t="s">
        <v>651</v>
      </c>
      <c r="H86" s="182" t="s">
        <v>652</v>
      </c>
      <c r="J86" s="176" t="b">
        <f>EXACT(G86,'Vh5205_C-80'!G86)</f>
        <v>1</v>
      </c>
    </row>
    <row r="87" spans="1:10" x14ac:dyDescent="0.35">
      <c r="A87" s="90">
        <v>84</v>
      </c>
      <c r="B87" s="146" t="s">
        <v>697</v>
      </c>
      <c r="C87" s="146" t="s">
        <v>299</v>
      </c>
      <c r="D87" s="94"/>
      <c r="E87" s="146"/>
      <c r="F87" s="19" t="s">
        <v>79</v>
      </c>
      <c r="G87" s="204" t="s">
        <v>502</v>
      </c>
      <c r="H87" s="140" t="s">
        <v>652</v>
      </c>
      <c r="J87" s="176" t="b">
        <f>EXACT(G87,'Vh5205_C-80'!G87)</f>
        <v>1</v>
      </c>
    </row>
    <row r="88" spans="1:10" x14ac:dyDescent="0.35">
      <c r="A88" s="90">
        <v>85</v>
      </c>
      <c r="B88" s="10" t="s">
        <v>697</v>
      </c>
      <c r="C88" s="10" t="s">
        <v>300</v>
      </c>
      <c r="D88" s="94"/>
      <c r="E88" s="146"/>
      <c r="F88" s="19" t="s">
        <v>79</v>
      </c>
      <c r="G88" s="192" t="s">
        <v>617</v>
      </c>
      <c r="H88" s="140" t="s">
        <v>652</v>
      </c>
      <c r="J88" s="176" t="b">
        <f>EXACT(G88,'Vh5205_C-80'!G88)</f>
        <v>1</v>
      </c>
    </row>
    <row r="89" spans="1:10" x14ac:dyDescent="0.35">
      <c r="A89" s="90">
        <v>86</v>
      </c>
      <c r="B89" s="10" t="s">
        <v>697</v>
      </c>
      <c r="C89" s="10" t="s">
        <v>156</v>
      </c>
      <c r="D89" s="146"/>
      <c r="E89" s="146" t="s">
        <v>0</v>
      </c>
      <c r="F89" s="19" t="s">
        <v>79</v>
      </c>
      <c r="G89" s="192">
        <v>1</v>
      </c>
      <c r="H89" s="140" t="s">
        <v>652</v>
      </c>
      <c r="J89" s="176" t="b">
        <f>EXACT(G89,'Vh5205_C-80'!G89)</f>
        <v>1</v>
      </c>
    </row>
    <row r="90" spans="1:10" x14ac:dyDescent="0.35">
      <c r="A90" s="90">
        <v>87</v>
      </c>
      <c r="B90" s="10" t="s">
        <v>697</v>
      </c>
      <c r="C90" s="10" t="s">
        <v>132</v>
      </c>
      <c r="D90" s="146"/>
      <c r="E90" s="146" t="s">
        <v>0</v>
      </c>
      <c r="F90" s="19" t="s">
        <v>79</v>
      </c>
      <c r="G90" s="192">
        <v>20</v>
      </c>
      <c r="H90" s="140" t="s">
        <v>652</v>
      </c>
      <c r="J90" s="176" t="b">
        <f>EXACT(G90,'Vh5205_C-80'!G90)</f>
        <v>1</v>
      </c>
    </row>
    <row r="91" spans="1:10" s="7" customFormat="1" x14ac:dyDescent="0.35">
      <c r="A91" s="90">
        <v>88</v>
      </c>
      <c r="B91" s="10" t="s">
        <v>697</v>
      </c>
      <c r="C91" s="10" t="s">
        <v>343</v>
      </c>
      <c r="D91" s="146"/>
      <c r="E91" s="146"/>
      <c r="F91" s="20" t="s">
        <v>26</v>
      </c>
      <c r="G91" s="161" t="s">
        <v>625</v>
      </c>
      <c r="H91" s="140" t="s">
        <v>652</v>
      </c>
      <c r="J91" s="176" t="b">
        <f>EXACT(G91,'Vh5205_C-80'!G91)</f>
        <v>1</v>
      </c>
    </row>
    <row r="92" spans="1:10" s="7" customFormat="1" ht="31" x14ac:dyDescent="0.35">
      <c r="A92" s="90">
        <v>89</v>
      </c>
      <c r="B92" s="10" t="s">
        <v>697</v>
      </c>
      <c r="C92" s="10" t="s">
        <v>425</v>
      </c>
      <c r="D92" s="146"/>
      <c r="E92" s="146"/>
      <c r="F92" s="20" t="s">
        <v>26</v>
      </c>
      <c r="G92" s="161" t="s">
        <v>621</v>
      </c>
      <c r="H92" s="140" t="s">
        <v>652</v>
      </c>
      <c r="J92" s="176" t="b">
        <f>EXACT(G92,'Vh5205_C-80'!G92)</f>
        <v>1</v>
      </c>
    </row>
    <row r="93" spans="1:10" ht="31" x14ac:dyDescent="0.35">
      <c r="A93" s="90">
        <v>90</v>
      </c>
      <c r="B93" s="87" t="s">
        <v>697</v>
      </c>
      <c r="C93" s="87" t="s">
        <v>157</v>
      </c>
      <c r="D93" s="87"/>
      <c r="E93" s="87"/>
      <c r="F93" s="21" t="s">
        <v>26</v>
      </c>
      <c r="G93" s="196" t="s">
        <v>719</v>
      </c>
      <c r="H93" s="182" t="s">
        <v>652</v>
      </c>
      <c r="J93" s="176" t="b">
        <f>EXACT(G93,'Vh5205_C-80'!G93)</f>
        <v>1</v>
      </c>
    </row>
    <row r="94" spans="1:10" s="7" customFormat="1" x14ac:dyDescent="0.35">
      <c r="A94" s="90">
        <v>91</v>
      </c>
      <c r="B94" s="10" t="s">
        <v>698</v>
      </c>
      <c r="C94" s="10" t="s">
        <v>159</v>
      </c>
      <c r="D94" s="146"/>
      <c r="E94" s="146"/>
      <c r="F94" s="19" t="s">
        <v>79</v>
      </c>
      <c r="G94" s="197" t="s">
        <v>385</v>
      </c>
      <c r="H94" s="140" t="s">
        <v>652</v>
      </c>
      <c r="J94" s="176" t="b">
        <f>EXACT(G94,'Vh5205_C-80'!G94)</f>
        <v>1</v>
      </c>
    </row>
    <row r="95" spans="1:10" s="7" customFormat="1" x14ac:dyDescent="0.35">
      <c r="A95" s="90">
        <v>92</v>
      </c>
      <c r="B95" s="146" t="s">
        <v>698</v>
      </c>
      <c r="C95" s="146" t="s">
        <v>426</v>
      </c>
      <c r="D95" s="146"/>
      <c r="E95" s="146"/>
      <c r="F95" s="19" t="s">
        <v>79</v>
      </c>
      <c r="G95" s="205" t="s">
        <v>391</v>
      </c>
      <c r="H95" s="140" t="s">
        <v>652</v>
      </c>
      <c r="J95" s="176" t="b">
        <f>EXACT(G95,'Vh5205_C-80'!G95)</f>
        <v>1</v>
      </c>
    </row>
    <row r="96" spans="1:10" s="7" customFormat="1" x14ac:dyDescent="0.35">
      <c r="A96" s="90">
        <v>93</v>
      </c>
      <c r="B96" s="146" t="s">
        <v>698</v>
      </c>
      <c r="C96" s="146" t="s">
        <v>386</v>
      </c>
      <c r="D96" s="146"/>
      <c r="E96" s="146"/>
      <c r="F96" s="19" t="s">
        <v>26</v>
      </c>
      <c r="G96" s="198" t="s">
        <v>387</v>
      </c>
      <c r="H96" s="140" t="s">
        <v>652</v>
      </c>
      <c r="J96" s="176" t="b">
        <f>EXACT(G96,'Vh5205_C-80'!G96)</f>
        <v>1</v>
      </c>
    </row>
    <row r="97" spans="1:10" s="7" customFormat="1" x14ac:dyDescent="0.35">
      <c r="A97" s="90">
        <v>94</v>
      </c>
      <c r="B97" s="146" t="s">
        <v>698</v>
      </c>
      <c r="C97" s="146" t="s">
        <v>105</v>
      </c>
      <c r="D97" s="146"/>
      <c r="E97" s="146"/>
      <c r="F97" s="19" t="s">
        <v>26</v>
      </c>
      <c r="G97" s="161" t="s">
        <v>656</v>
      </c>
      <c r="H97" s="140" t="s">
        <v>652</v>
      </c>
      <c r="J97" s="176" t="b">
        <f>EXACT(G97,'Vh5205_C-80'!G97)</f>
        <v>1</v>
      </c>
    </row>
    <row r="98" spans="1:10" s="7" customFormat="1" x14ac:dyDescent="0.35">
      <c r="A98" s="90">
        <v>95</v>
      </c>
      <c r="B98" s="87" t="s">
        <v>698</v>
      </c>
      <c r="C98" s="87" t="s">
        <v>160</v>
      </c>
      <c r="D98" s="87"/>
      <c r="E98" s="87"/>
      <c r="F98" s="22" t="s">
        <v>79</v>
      </c>
      <c r="G98" s="194" t="s">
        <v>196</v>
      </c>
      <c r="H98" s="182" t="s">
        <v>652</v>
      </c>
      <c r="J98" s="176" t="b">
        <f>EXACT(G98,'Vh5205_C-80'!G98)</f>
        <v>1</v>
      </c>
    </row>
    <row r="99" spans="1:10" x14ac:dyDescent="0.35">
      <c r="A99" s="90">
        <v>96</v>
      </c>
      <c r="B99" s="10" t="s">
        <v>699</v>
      </c>
      <c r="C99" s="10" t="s">
        <v>428</v>
      </c>
      <c r="D99" s="146"/>
      <c r="E99" s="146"/>
      <c r="F99" s="20" t="s">
        <v>26</v>
      </c>
      <c r="G99" s="206" t="s">
        <v>196</v>
      </c>
      <c r="H99" s="140" t="s">
        <v>652</v>
      </c>
      <c r="J99" s="176" t="b">
        <f>EXACT(G99,'Vh5205_C-80'!G99)</f>
        <v>1</v>
      </c>
    </row>
    <row r="100" spans="1:10" x14ac:dyDescent="0.35">
      <c r="A100" s="90">
        <v>97</v>
      </c>
      <c r="B100" s="104" t="s">
        <v>699</v>
      </c>
      <c r="C100" s="104" t="s">
        <v>161</v>
      </c>
      <c r="D100" s="104"/>
      <c r="E100" s="104"/>
      <c r="F100" s="20" t="s">
        <v>79</v>
      </c>
      <c r="G100" s="192"/>
      <c r="H100" s="140"/>
      <c r="J100" s="1" t="b">
        <f>EXACT(G100,'Vh5205_C-80'!G100)</f>
        <v>1</v>
      </c>
    </row>
    <row r="101" spans="1:10" x14ac:dyDescent="0.35">
      <c r="A101" s="90">
        <v>98</v>
      </c>
      <c r="B101" s="104" t="s">
        <v>699</v>
      </c>
      <c r="C101" s="104" t="s">
        <v>272</v>
      </c>
      <c r="D101" s="104"/>
      <c r="E101" s="104"/>
      <c r="F101" s="20" t="s">
        <v>26</v>
      </c>
      <c r="G101" s="207">
        <v>44778</v>
      </c>
      <c r="H101" s="140" t="s">
        <v>652</v>
      </c>
      <c r="J101" s="176" t="b">
        <f>EXACT(G101,'Vh5205_C-80'!G101)</f>
        <v>1</v>
      </c>
    </row>
    <row r="102" spans="1:10" x14ac:dyDescent="0.35">
      <c r="A102" s="90">
        <v>99</v>
      </c>
      <c r="B102" s="104" t="s">
        <v>699</v>
      </c>
      <c r="C102" s="104" t="s">
        <v>271</v>
      </c>
      <c r="D102" s="104"/>
      <c r="E102" s="104"/>
      <c r="F102" s="20" t="s">
        <v>26</v>
      </c>
      <c r="G102" s="161" t="s">
        <v>503</v>
      </c>
      <c r="H102" s="140" t="s">
        <v>652</v>
      </c>
      <c r="J102" s="176" t="b">
        <f>EXACT(G102,'Vh5205_C-80'!G102)</f>
        <v>1</v>
      </c>
    </row>
    <row r="103" spans="1:10" x14ac:dyDescent="0.35">
      <c r="A103" s="90">
        <v>100</v>
      </c>
      <c r="B103" s="10" t="s">
        <v>699</v>
      </c>
      <c r="C103" s="10" t="s">
        <v>120</v>
      </c>
      <c r="D103" s="146"/>
      <c r="E103" s="146"/>
      <c r="F103" s="20" t="s">
        <v>26</v>
      </c>
      <c r="G103" s="192" t="s">
        <v>270</v>
      </c>
      <c r="H103" s="140" t="s">
        <v>652</v>
      </c>
      <c r="J103" s="176" t="b">
        <f>EXACT(G103,'Vh5205_C-80'!G103)</f>
        <v>1</v>
      </c>
    </row>
    <row r="104" spans="1:10" x14ac:dyDescent="0.35">
      <c r="A104" s="90">
        <v>101</v>
      </c>
      <c r="B104" s="10" t="s">
        <v>699</v>
      </c>
      <c r="C104" s="10" t="s">
        <v>119</v>
      </c>
      <c r="D104" s="146"/>
      <c r="E104" s="146"/>
      <c r="F104" s="20" t="s">
        <v>26</v>
      </c>
      <c r="G104" s="161">
        <v>1</v>
      </c>
      <c r="H104" s="140" t="s">
        <v>652</v>
      </c>
      <c r="J104" s="176" t="b">
        <f>EXACT(G104,'Vh5205_C-80'!G104)</f>
        <v>1</v>
      </c>
    </row>
    <row r="105" spans="1:10" x14ac:dyDescent="0.35">
      <c r="A105" s="90">
        <v>102</v>
      </c>
      <c r="B105" s="10" t="s">
        <v>699</v>
      </c>
      <c r="C105" s="10" t="s">
        <v>121</v>
      </c>
      <c r="D105" s="146"/>
      <c r="E105" s="146" t="s">
        <v>0</v>
      </c>
      <c r="F105" s="20" t="s">
        <v>26</v>
      </c>
      <c r="G105" s="161" t="s">
        <v>487</v>
      </c>
      <c r="H105" s="140" t="s">
        <v>652</v>
      </c>
      <c r="J105" s="176" t="b">
        <f>EXACT(G105,'Vh5205_C-80'!G105)</f>
        <v>1</v>
      </c>
    </row>
    <row r="106" spans="1:10" x14ac:dyDescent="0.35">
      <c r="A106" s="90">
        <v>103</v>
      </c>
      <c r="B106" s="13" t="s">
        <v>699</v>
      </c>
      <c r="C106" s="13" t="s">
        <v>430</v>
      </c>
      <c r="D106" s="87"/>
      <c r="E106" s="87"/>
      <c r="F106" s="22" t="s">
        <v>26</v>
      </c>
      <c r="G106" s="194" t="s">
        <v>196</v>
      </c>
      <c r="H106" s="182" t="s">
        <v>652</v>
      </c>
      <c r="J106" s="176" t="b">
        <f>EXACT(G106,'Vh5205_C-80'!G106)</f>
        <v>1</v>
      </c>
    </row>
    <row r="107" spans="1:10" x14ac:dyDescent="0.35">
      <c r="A107" s="90">
        <v>104</v>
      </c>
      <c r="B107" s="10" t="s">
        <v>700</v>
      </c>
      <c r="C107" s="10" t="s">
        <v>458</v>
      </c>
      <c r="D107" s="146"/>
      <c r="E107" s="146"/>
      <c r="F107" s="20" t="s">
        <v>26</v>
      </c>
      <c r="G107" s="197" t="s">
        <v>196</v>
      </c>
      <c r="H107" s="140" t="s">
        <v>652</v>
      </c>
      <c r="J107" s="176" t="b">
        <f>EXACT(G107,'Vh5205_C-80'!G107)</f>
        <v>1</v>
      </c>
    </row>
    <row r="108" spans="1:10" ht="31" x14ac:dyDescent="0.35">
      <c r="A108" s="90">
        <v>105</v>
      </c>
      <c r="B108" s="104" t="s">
        <v>700</v>
      </c>
      <c r="C108" s="104" t="s">
        <v>459</v>
      </c>
      <c r="D108" s="104"/>
      <c r="E108" s="104"/>
      <c r="F108" s="20" t="s">
        <v>26</v>
      </c>
      <c r="G108" s="161" t="s">
        <v>609</v>
      </c>
      <c r="H108" s="140" t="s">
        <v>652</v>
      </c>
      <c r="J108" s="176" t="b">
        <f>EXACT(G108,'Vh5205_C-80'!G108)</f>
        <v>1</v>
      </c>
    </row>
    <row r="109" spans="1:10" x14ac:dyDescent="0.35">
      <c r="A109" s="90">
        <v>106</v>
      </c>
      <c r="B109" s="104" t="s">
        <v>700</v>
      </c>
      <c r="C109" s="104" t="s">
        <v>161</v>
      </c>
      <c r="D109" s="104"/>
      <c r="E109" s="104"/>
      <c r="F109" s="20" t="s">
        <v>79</v>
      </c>
      <c r="G109" s="161" t="s">
        <v>539</v>
      </c>
      <c r="H109" s="140" t="s">
        <v>652</v>
      </c>
      <c r="J109" s="176" t="b">
        <f>EXACT(G109,'Vh5205_C-80'!G109)</f>
        <v>1</v>
      </c>
    </row>
    <row r="110" spans="1:10" x14ac:dyDescent="0.35">
      <c r="A110" s="90">
        <v>107</v>
      </c>
      <c r="B110" s="104" t="s">
        <v>700</v>
      </c>
      <c r="C110" s="104" t="s">
        <v>272</v>
      </c>
      <c r="D110" s="104"/>
      <c r="E110" s="104"/>
      <c r="F110" s="20" t="s">
        <v>26</v>
      </c>
      <c r="G110" s="207">
        <v>45098</v>
      </c>
      <c r="H110" s="140" t="s">
        <v>652</v>
      </c>
      <c r="J110" s="176" t="b">
        <f>EXACT(G110,'Vh5205_C-80'!G110)</f>
        <v>1</v>
      </c>
    </row>
    <row r="111" spans="1:10" x14ac:dyDescent="0.35">
      <c r="A111" s="90">
        <v>108</v>
      </c>
      <c r="B111" s="104" t="s">
        <v>700</v>
      </c>
      <c r="C111" s="104" t="s">
        <v>271</v>
      </c>
      <c r="D111" s="104"/>
      <c r="E111" s="104"/>
      <c r="F111" s="20" t="s">
        <v>26</v>
      </c>
      <c r="G111" s="192" t="s">
        <v>504</v>
      </c>
      <c r="H111" s="140" t="s">
        <v>652</v>
      </c>
      <c r="J111" s="176" t="b">
        <f>EXACT(G111,'Vh5205_C-80'!G111)</f>
        <v>1</v>
      </c>
    </row>
    <row r="112" spans="1:10" x14ac:dyDescent="0.35">
      <c r="A112" s="90">
        <v>109</v>
      </c>
      <c r="B112" s="10" t="s">
        <v>700</v>
      </c>
      <c r="C112" s="10" t="s">
        <v>120</v>
      </c>
      <c r="D112" s="146"/>
      <c r="E112" s="146"/>
      <c r="F112" s="20" t="s">
        <v>26</v>
      </c>
      <c r="G112" s="192" t="s">
        <v>524</v>
      </c>
      <c r="H112" s="140" t="s">
        <v>652</v>
      </c>
      <c r="J112" s="176" t="b">
        <f>EXACT(G112,'Vh5205_C-80'!G112)</f>
        <v>1</v>
      </c>
    </row>
    <row r="113" spans="1:10" x14ac:dyDescent="0.35">
      <c r="A113" s="90">
        <v>110</v>
      </c>
      <c r="B113" s="10" t="s">
        <v>700</v>
      </c>
      <c r="C113" s="10" t="s">
        <v>119</v>
      </c>
      <c r="D113" s="146"/>
      <c r="E113" s="146"/>
      <c r="F113" s="20" t="s">
        <v>26</v>
      </c>
      <c r="G113" s="192" t="s">
        <v>524</v>
      </c>
      <c r="H113" s="140" t="s">
        <v>652</v>
      </c>
      <c r="J113" s="176" t="b">
        <f>EXACT(G113,'Vh5205_C-80'!G113)</f>
        <v>1</v>
      </c>
    </row>
    <row r="114" spans="1:10" x14ac:dyDescent="0.35">
      <c r="A114" s="90">
        <v>111</v>
      </c>
      <c r="B114" s="13" t="s">
        <v>700</v>
      </c>
      <c r="C114" s="13" t="s">
        <v>121</v>
      </c>
      <c r="D114" s="87"/>
      <c r="E114" s="87" t="s">
        <v>0</v>
      </c>
      <c r="F114" s="21" t="s">
        <v>26</v>
      </c>
      <c r="G114" s="194" t="s">
        <v>505</v>
      </c>
      <c r="H114" s="182" t="s">
        <v>652</v>
      </c>
      <c r="J114" s="176" t="b">
        <f>EXACT(G114,'Vh5205_C-80'!G114)</f>
        <v>1</v>
      </c>
    </row>
    <row r="115" spans="1:10" x14ac:dyDescent="0.35">
      <c r="A115" s="90">
        <v>112</v>
      </c>
      <c r="B115" s="102" t="s">
        <v>701</v>
      </c>
      <c r="C115" s="102" t="s">
        <v>308</v>
      </c>
      <c r="D115" s="146"/>
      <c r="E115" s="146"/>
      <c r="F115" s="39" t="s">
        <v>26</v>
      </c>
      <c r="G115" s="197" t="s">
        <v>347</v>
      </c>
      <c r="H115" s="140" t="s">
        <v>652</v>
      </c>
      <c r="J115" s="176" t="b">
        <f>EXACT(G115,'Vh5205_C-80'!G115)</f>
        <v>1</v>
      </c>
    </row>
    <row r="116" spans="1:10" s="7" customFormat="1" x14ac:dyDescent="0.35">
      <c r="A116" s="90">
        <v>113</v>
      </c>
      <c r="B116" s="13" t="s">
        <v>701</v>
      </c>
      <c r="C116" s="13" t="s">
        <v>163</v>
      </c>
      <c r="D116" s="87"/>
      <c r="E116" s="87"/>
      <c r="F116" s="22" t="s">
        <v>26</v>
      </c>
      <c r="G116" s="194" t="s">
        <v>196</v>
      </c>
      <c r="H116" s="182" t="s">
        <v>652</v>
      </c>
      <c r="J116" s="176" t="b">
        <f>EXACT(G116,'Vh5205_C-80'!G116)</f>
        <v>1</v>
      </c>
    </row>
    <row r="117" spans="1:10" s="7" customFormat="1" x14ac:dyDescent="0.35">
      <c r="A117" s="90">
        <v>114</v>
      </c>
      <c r="B117" s="102" t="s">
        <v>702</v>
      </c>
      <c r="C117" s="102" t="s">
        <v>164</v>
      </c>
      <c r="D117" s="100"/>
      <c r="E117" s="100"/>
      <c r="F117" s="18" t="s">
        <v>26</v>
      </c>
      <c r="G117" s="206" t="s">
        <v>196</v>
      </c>
      <c r="H117" s="140" t="s">
        <v>652</v>
      </c>
      <c r="J117" s="176" t="b">
        <f>EXACT(G117,'Vh5205_C-80'!G117)</f>
        <v>1</v>
      </c>
    </row>
    <row r="118" spans="1:10" s="7" customFormat="1" x14ac:dyDescent="0.35">
      <c r="A118" s="90">
        <v>115</v>
      </c>
      <c r="B118" s="13" t="s">
        <v>702</v>
      </c>
      <c r="C118" s="13" t="s">
        <v>191</v>
      </c>
      <c r="D118" s="87"/>
      <c r="E118" s="87"/>
      <c r="F118" s="22" t="s">
        <v>79</v>
      </c>
      <c r="G118" s="194" t="s">
        <v>196</v>
      </c>
      <c r="H118" s="182" t="s">
        <v>652</v>
      </c>
      <c r="J118" s="176" t="b">
        <f>EXACT(G118,'Vh5205_C-80'!G118)</f>
        <v>1</v>
      </c>
    </row>
    <row r="119" spans="1:10" s="7" customFormat="1" x14ac:dyDescent="0.35">
      <c r="A119" s="90">
        <v>116</v>
      </c>
      <c r="B119" s="146" t="s">
        <v>703</v>
      </c>
      <c r="C119" s="146" t="s">
        <v>106</v>
      </c>
      <c r="D119" s="146"/>
      <c r="E119" s="146"/>
      <c r="F119" s="19" t="s">
        <v>26</v>
      </c>
      <c r="G119" s="197" t="s">
        <v>488</v>
      </c>
      <c r="H119" s="140" t="s">
        <v>652</v>
      </c>
      <c r="J119" s="176" t="b">
        <f>EXACT(G119,'Vh5205_C-80'!G119)</f>
        <v>1</v>
      </c>
    </row>
    <row r="120" spans="1:10" x14ac:dyDescent="0.35">
      <c r="A120" s="90">
        <v>117</v>
      </c>
      <c r="B120" s="146" t="s">
        <v>703</v>
      </c>
      <c r="C120" s="146" t="s">
        <v>434</v>
      </c>
      <c r="D120" s="5"/>
      <c r="E120" s="5"/>
      <c r="F120" s="19" t="s">
        <v>26</v>
      </c>
      <c r="G120" s="161" t="s">
        <v>506</v>
      </c>
      <c r="H120" s="140" t="s">
        <v>652</v>
      </c>
      <c r="J120" s="176" t="b">
        <f>EXACT(G120,'Vh5205_C-80'!G120)</f>
        <v>1</v>
      </c>
    </row>
    <row r="121" spans="1:10" ht="31" x14ac:dyDescent="0.35">
      <c r="A121" s="90">
        <v>118</v>
      </c>
      <c r="B121" s="87" t="s">
        <v>703</v>
      </c>
      <c r="C121" s="87" t="s">
        <v>350</v>
      </c>
      <c r="D121" s="93"/>
      <c r="E121" s="93"/>
      <c r="F121" s="22" t="s">
        <v>26</v>
      </c>
      <c r="G121" s="194" t="s">
        <v>196</v>
      </c>
      <c r="H121" s="182" t="s">
        <v>652</v>
      </c>
      <c r="J121" s="176" t="b">
        <f>EXACT(G121,'Vh5205_C-80'!G121)</f>
        <v>1</v>
      </c>
    </row>
    <row r="122" spans="1:10" x14ac:dyDescent="0.35">
      <c r="A122" s="90">
        <v>119</v>
      </c>
      <c r="B122" s="5" t="s">
        <v>704</v>
      </c>
      <c r="C122" s="5" t="s">
        <v>135</v>
      </c>
      <c r="D122" s="5"/>
      <c r="E122" s="5"/>
      <c r="F122" s="19" t="s">
        <v>26</v>
      </c>
      <c r="G122" s="206" t="s">
        <v>269</v>
      </c>
      <c r="H122" s="140" t="s">
        <v>652</v>
      </c>
      <c r="J122" s="176" t="b">
        <f>EXACT(G122,'Vh5205_C-80'!G122)</f>
        <v>1</v>
      </c>
    </row>
    <row r="123" spans="1:10" s="7" customFormat="1" ht="46.5" x14ac:dyDescent="0.35">
      <c r="A123" s="90">
        <v>120</v>
      </c>
      <c r="B123" s="146" t="s">
        <v>704</v>
      </c>
      <c r="C123" s="146" t="s">
        <v>316</v>
      </c>
      <c r="D123" s="146"/>
      <c r="E123" s="146"/>
      <c r="F123" s="19" t="s">
        <v>79</v>
      </c>
      <c r="G123" s="161" t="s">
        <v>528</v>
      </c>
      <c r="H123" s="177"/>
      <c r="J123" s="1" t="b">
        <f>EXACT(G123,'Vh5205_C-80'!G123)</f>
        <v>1</v>
      </c>
    </row>
    <row r="124" spans="1:10" x14ac:dyDescent="0.35">
      <c r="A124" s="90">
        <v>121</v>
      </c>
      <c r="B124" s="5" t="s">
        <v>704</v>
      </c>
      <c r="C124" s="5" t="s">
        <v>354</v>
      </c>
      <c r="D124" s="5"/>
      <c r="E124" s="5"/>
      <c r="F124" s="48" t="s">
        <v>26</v>
      </c>
      <c r="G124" s="161" t="s">
        <v>205</v>
      </c>
      <c r="H124" s="164" t="s">
        <v>652</v>
      </c>
      <c r="J124" s="176" t="b">
        <f>EXACT(G124,'Vh5205_C-80'!G124)</f>
        <v>1</v>
      </c>
    </row>
    <row r="125" spans="1:10" x14ac:dyDescent="0.35">
      <c r="A125" s="90">
        <v>122</v>
      </c>
      <c r="B125" s="5" t="s">
        <v>704</v>
      </c>
      <c r="C125" s="5" t="s">
        <v>139</v>
      </c>
      <c r="D125" s="5"/>
      <c r="E125" s="5" t="s">
        <v>2</v>
      </c>
      <c r="F125" s="48" t="s">
        <v>79</v>
      </c>
      <c r="G125" s="192" t="s">
        <v>489</v>
      </c>
      <c r="H125" s="164" t="s">
        <v>652</v>
      </c>
      <c r="J125" s="176" t="b">
        <f>EXACT(G125,'Vh5205_C-80'!G125)</f>
        <v>1</v>
      </c>
    </row>
    <row r="126" spans="1:10" x14ac:dyDescent="0.35">
      <c r="A126" s="90">
        <v>123</v>
      </c>
      <c r="B126" s="5" t="s">
        <v>704</v>
      </c>
      <c r="C126" s="5" t="s">
        <v>140</v>
      </c>
      <c r="D126" s="5"/>
      <c r="E126" s="5"/>
      <c r="F126" s="48" t="s">
        <v>79</v>
      </c>
      <c r="G126" s="192" t="s">
        <v>538</v>
      </c>
      <c r="H126" s="164" t="s">
        <v>652</v>
      </c>
      <c r="J126" s="176" t="b">
        <f>EXACT(G126,'Vh5205_C-80'!G126)</f>
        <v>1</v>
      </c>
    </row>
    <row r="127" spans="1:10" s="7" customFormat="1" x14ac:dyDescent="0.35">
      <c r="A127" s="90">
        <v>124</v>
      </c>
      <c r="B127" s="10" t="s">
        <v>704</v>
      </c>
      <c r="C127" s="10" t="s">
        <v>122</v>
      </c>
      <c r="D127" s="146"/>
      <c r="E127" s="146"/>
      <c r="F127" s="165" t="s">
        <v>26</v>
      </c>
      <c r="G127" s="161" t="s">
        <v>196</v>
      </c>
      <c r="H127" s="164" t="s">
        <v>652</v>
      </c>
      <c r="J127" s="176" t="b">
        <f>EXACT(G127,'Vh5205_C-80'!G127)</f>
        <v>1</v>
      </c>
    </row>
    <row r="128" spans="1:10" x14ac:dyDescent="0.35">
      <c r="A128" s="90">
        <v>125</v>
      </c>
      <c r="B128" s="5" t="s">
        <v>704</v>
      </c>
      <c r="C128" s="5" t="s">
        <v>137</v>
      </c>
      <c r="D128" s="5"/>
      <c r="E128" s="5"/>
      <c r="F128" s="48" t="s">
        <v>26</v>
      </c>
      <c r="G128" s="192" t="s">
        <v>359</v>
      </c>
      <c r="H128" s="164" t="s">
        <v>652</v>
      </c>
      <c r="J128" s="176" t="b">
        <f>EXACT(G128,'Vh5205_C-80'!G128)</f>
        <v>1</v>
      </c>
    </row>
    <row r="129" spans="1:10" s="7" customFormat="1" x14ac:dyDescent="0.35">
      <c r="A129" s="90">
        <v>126</v>
      </c>
      <c r="B129" s="146" t="s">
        <v>704</v>
      </c>
      <c r="C129" s="146" t="s">
        <v>120</v>
      </c>
      <c r="D129" s="146"/>
      <c r="E129" s="146"/>
      <c r="F129" s="165" t="s">
        <v>26</v>
      </c>
      <c r="G129" s="161" t="s">
        <v>490</v>
      </c>
      <c r="H129" s="164" t="s">
        <v>652</v>
      </c>
      <c r="J129" s="176" t="b">
        <f>EXACT(G129,'Vh5205_C-80'!G129)</f>
        <v>1</v>
      </c>
    </row>
    <row r="130" spans="1:10" s="7" customFormat="1" x14ac:dyDescent="0.35">
      <c r="A130" s="90">
        <v>127</v>
      </c>
      <c r="B130" s="104" t="s">
        <v>704</v>
      </c>
      <c r="C130" s="104" t="s">
        <v>161</v>
      </c>
      <c r="D130" s="146"/>
      <c r="E130" s="146"/>
      <c r="F130" s="165" t="s">
        <v>79</v>
      </c>
      <c r="G130" s="161" t="s">
        <v>539</v>
      </c>
      <c r="H130" s="164" t="s">
        <v>652</v>
      </c>
      <c r="J130" s="176" t="b">
        <f>EXACT(G130,'Vh5205_C-80'!G130)</f>
        <v>1</v>
      </c>
    </row>
    <row r="131" spans="1:10" s="7" customFormat="1" x14ac:dyDescent="0.35">
      <c r="A131" s="90">
        <v>128</v>
      </c>
      <c r="B131" s="104" t="s">
        <v>704</v>
      </c>
      <c r="C131" s="104" t="s">
        <v>358</v>
      </c>
      <c r="D131" s="146"/>
      <c r="E131" s="146"/>
      <c r="F131" s="165" t="s">
        <v>26</v>
      </c>
      <c r="G131" s="195">
        <v>44781</v>
      </c>
      <c r="H131" s="177"/>
      <c r="J131" s="1" t="b">
        <f>EXACT(G131,'Vh5205_C-80'!G131)</f>
        <v>1</v>
      </c>
    </row>
    <row r="132" spans="1:10" s="7" customFormat="1" x14ac:dyDescent="0.35">
      <c r="A132" s="90">
        <v>129</v>
      </c>
      <c r="B132" s="104" t="s">
        <v>704</v>
      </c>
      <c r="C132" s="104" t="s">
        <v>271</v>
      </c>
      <c r="D132" s="146"/>
      <c r="E132" s="146"/>
      <c r="F132" s="165" t="s">
        <v>26</v>
      </c>
      <c r="G132" s="161" t="s">
        <v>504</v>
      </c>
      <c r="H132" s="177" t="s">
        <v>652</v>
      </c>
      <c r="J132" s="176" t="b">
        <f>EXACT(G132,'Vh5205_C-80'!G132)</f>
        <v>1</v>
      </c>
    </row>
    <row r="133" spans="1:10" ht="46.5" x14ac:dyDescent="0.35">
      <c r="A133" s="90">
        <v>130</v>
      </c>
      <c r="B133" s="91" t="s">
        <v>704</v>
      </c>
      <c r="C133" s="91" t="s">
        <v>315</v>
      </c>
      <c r="D133" s="5"/>
      <c r="E133" s="5" t="s">
        <v>85</v>
      </c>
      <c r="F133" s="48" t="s">
        <v>79</v>
      </c>
      <c r="G133" s="198" t="s">
        <v>525</v>
      </c>
      <c r="H133" s="177" t="s">
        <v>652</v>
      </c>
      <c r="J133" s="176" t="b">
        <f>EXACT(G133,'Vh5205_C-80'!G133)</f>
        <v>1</v>
      </c>
    </row>
    <row r="134" spans="1:10" s="7" customFormat="1" x14ac:dyDescent="0.35">
      <c r="A134" s="90">
        <v>131</v>
      </c>
      <c r="B134" s="146" t="s">
        <v>704</v>
      </c>
      <c r="C134" s="146" t="s">
        <v>121</v>
      </c>
      <c r="D134" s="146"/>
      <c r="E134" s="146" t="s">
        <v>85</v>
      </c>
      <c r="F134" s="165" t="s">
        <v>26</v>
      </c>
      <c r="G134" s="161" t="s">
        <v>491</v>
      </c>
      <c r="H134" s="177" t="s">
        <v>652</v>
      </c>
      <c r="J134" s="176" t="b">
        <f>EXACT(G134,'Vh5205_C-80'!G134)</f>
        <v>1</v>
      </c>
    </row>
    <row r="135" spans="1:10" x14ac:dyDescent="0.35">
      <c r="A135" s="90">
        <v>132</v>
      </c>
      <c r="B135" s="5" t="s">
        <v>704</v>
      </c>
      <c r="C135" s="5" t="s">
        <v>165</v>
      </c>
      <c r="D135" s="5"/>
      <c r="E135" s="5"/>
      <c r="F135" s="48" t="s">
        <v>26</v>
      </c>
      <c r="G135" s="192" t="s">
        <v>540</v>
      </c>
      <c r="H135" s="177" t="s">
        <v>652</v>
      </c>
      <c r="J135" s="176" t="b">
        <f>EXACT(G135,'Vh5205_C-80'!G135)</f>
        <v>1</v>
      </c>
    </row>
    <row r="136" spans="1:10" x14ac:dyDescent="0.35">
      <c r="A136" s="90">
        <v>133</v>
      </c>
      <c r="B136" s="5" t="s">
        <v>704</v>
      </c>
      <c r="C136" s="5" t="s">
        <v>166</v>
      </c>
      <c r="D136" s="5"/>
      <c r="E136" s="5"/>
      <c r="F136" s="48" t="s">
        <v>26</v>
      </c>
      <c r="G136" s="161">
        <v>3</v>
      </c>
      <c r="H136" s="177" t="s">
        <v>652</v>
      </c>
      <c r="J136" s="176" t="b">
        <f>EXACT(G136,'Vh5205_C-80'!G136)</f>
        <v>1</v>
      </c>
    </row>
    <row r="137" spans="1:10" x14ac:dyDescent="0.35">
      <c r="A137" s="90">
        <v>134</v>
      </c>
      <c r="B137" s="5" t="s">
        <v>704</v>
      </c>
      <c r="C137" s="5" t="s">
        <v>141</v>
      </c>
      <c r="D137" s="5"/>
      <c r="E137" s="5"/>
      <c r="F137" s="48" t="s">
        <v>26</v>
      </c>
      <c r="G137" s="161" t="s">
        <v>522</v>
      </c>
      <c r="H137" s="177" t="s">
        <v>652</v>
      </c>
      <c r="J137" s="176" t="b">
        <f>EXACT(G137,'Vh5205_C-80'!G137)</f>
        <v>1</v>
      </c>
    </row>
    <row r="138" spans="1:10" s="7" customFormat="1" x14ac:dyDescent="0.35">
      <c r="A138" s="90"/>
      <c r="B138" s="114" t="s">
        <v>704</v>
      </c>
      <c r="C138" s="114"/>
      <c r="D138" s="87"/>
      <c r="E138" s="87"/>
      <c r="F138" s="166"/>
      <c r="G138" s="196"/>
      <c r="H138" s="180"/>
      <c r="J138" s="1" t="b">
        <f>EXACT(G138,'Vh5205_C-80'!G138)</f>
        <v>1</v>
      </c>
    </row>
    <row r="139" spans="1:10" s="7" customFormat="1" x14ac:dyDescent="0.35">
      <c r="A139" s="90">
        <v>135</v>
      </c>
      <c r="B139" s="10" t="s">
        <v>705</v>
      </c>
      <c r="C139" s="10" t="s">
        <v>142</v>
      </c>
      <c r="D139" s="146"/>
      <c r="E139" s="146"/>
      <c r="F139" s="20" t="s">
        <v>26</v>
      </c>
      <c r="G139" s="192" t="s">
        <v>196</v>
      </c>
      <c r="H139" s="177" t="s">
        <v>652</v>
      </c>
      <c r="J139" s="176" t="b">
        <f>EXACT(G139,'Vh5205_C-80'!G139)</f>
        <v>1</v>
      </c>
    </row>
    <row r="140" spans="1:10" x14ac:dyDescent="0.35">
      <c r="A140" s="90">
        <v>136</v>
      </c>
      <c r="B140" s="5" t="s">
        <v>705</v>
      </c>
      <c r="C140" s="5" t="s">
        <v>138</v>
      </c>
      <c r="D140" s="5"/>
      <c r="E140" s="5"/>
      <c r="F140" s="19" t="s">
        <v>79</v>
      </c>
      <c r="G140" s="161" t="s">
        <v>526</v>
      </c>
      <c r="H140" s="177" t="s">
        <v>652</v>
      </c>
      <c r="J140" s="176" t="b">
        <f>EXACT(G140,'Vh5205_C-80'!G140)</f>
        <v>1</v>
      </c>
    </row>
    <row r="141" spans="1:10" x14ac:dyDescent="0.35">
      <c r="A141" s="90">
        <v>137</v>
      </c>
      <c r="B141" s="104" t="s">
        <v>705</v>
      </c>
      <c r="C141" s="104" t="s">
        <v>161</v>
      </c>
      <c r="D141" s="104"/>
      <c r="E141" s="104"/>
      <c r="F141" s="19" t="s">
        <v>79</v>
      </c>
      <c r="G141" s="161" t="s">
        <v>539</v>
      </c>
      <c r="H141" s="177" t="s">
        <v>652</v>
      </c>
      <c r="J141" s="176" t="b">
        <f>EXACT(G141,'Vh5205_C-80'!G141)</f>
        <v>1</v>
      </c>
    </row>
    <row r="142" spans="1:10" x14ac:dyDescent="0.35">
      <c r="A142" s="90">
        <v>138</v>
      </c>
      <c r="B142" s="104" t="s">
        <v>705</v>
      </c>
      <c r="C142" s="104" t="s">
        <v>358</v>
      </c>
      <c r="D142" s="104"/>
      <c r="E142" s="104"/>
      <c r="F142" s="20" t="s">
        <v>26</v>
      </c>
      <c r="G142" s="195">
        <v>44754</v>
      </c>
      <c r="H142" s="140"/>
      <c r="J142" s="1" t="b">
        <f>EXACT(G142,'Vh5205_C-80'!G142)</f>
        <v>1</v>
      </c>
    </row>
    <row r="143" spans="1:10" x14ac:dyDescent="0.35">
      <c r="A143" s="90">
        <v>139</v>
      </c>
      <c r="B143" s="104" t="s">
        <v>705</v>
      </c>
      <c r="C143" s="104" t="s">
        <v>271</v>
      </c>
      <c r="D143" s="104"/>
      <c r="E143" s="104"/>
      <c r="F143" s="165" t="s">
        <v>26</v>
      </c>
      <c r="G143" s="161" t="s">
        <v>492</v>
      </c>
      <c r="H143" s="177" t="s">
        <v>652</v>
      </c>
      <c r="J143" s="176" t="b">
        <f>EXACT(G143,'Vh5205_C-80'!G143)</f>
        <v>1</v>
      </c>
    </row>
    <row r="144" spans="1:10" x14ac:dyDescent="0.35">
      <c r="A144" s="90">
        <v>140</v>
      </c>
      <c r="B144" s="5" t="s">
        <v>705</v>
      </c>
      <c r="C144" s="5" t="s">
        <v>137</v>
      </c>
      <c r="D144" s="5"/>
      <c r="E144" s="5"/>
      <c r="F144" s="48" t="s">
        <v>26</v>
      </c>
      <c r="G144" s="161" t="s">
        <v>493</v>
      </c>
      <c r="H144" s="177" t="s">
        <v>652</v>
      </c>
      <c r="J144" s="176" t="b">
        <f>EXACT(G144,'Vh5205_C-80'!G144)</f>
        <v>1</v>
      </c>
    </row>
    <row r="145" spans="1:10" x14ac:dyDescent="0.35">
      <c r="A145" s="90">
        <v>141</v>
      </c>
      <c r="B145" s="146" t="s">
        <v>705</v>
      </c>
      <c r="C145" s="146" t="s">
        <v>120</v>
      </c>
      <c r="D145" s="146"/>
      <c r="E145" s="146"/>
      <c r="F145" s="48" t="s">
        <v>26</v>
      </c>
      <c r="G145" s="161" t="s">
        <v>273</v>
      </c>
      <c r="H145" s="177" t="s">
        <v>652</v>
      </c>
      <c r="J145" s="176" t="b">
        <f>EXACT(G145,'Vh5205_C-80'!G145)</f>
        <v>1</v>
      </c>
    </row>
    <row r="146" spans="1:10" x14ac:dyDescent="0.35">
      <c r="A146" s="90">
        <v>142</v>
      </c>
      <c r="B146" s="91" t="s">
        <v>705</v>
      </c>
      <c r="C146" s="91" t="s">
        <v>315</v>
      </c>
      <c r="D146" s="5"/>
      <c r="E146" s="5" t="s">
        <v>85</v>
      </c>
      <c r="F146" s="48" t="s">
        <v>79</v>
      </c>
      <c r="G146" s="198" t="s">
        <v>532</v>
      </c>
      <c r="H146" s="140"/>
      <c r="J146" s="1" t="b">
        <f>EXACT(G146,'Vh5205_C-80'!G146)</f>
        <v>1</v>
      </c>
    </row>
    <row r="147" spans="1:10" x14ac:dyDescent="0.35">
      <c r="A147" s="90">
        <v>143</v>
      </c>
      <c r="B147" s="87" t="s">
        <v>705</v>
      </c>
      <c r="C147" s="87" t="s">
        <v>121</v>
      </c>
      <c r="D147" s="93"/>
      <c r="E147" s="87" t="s">
        <v>85</v>
      </c>
      <c r="F147" s="22" t="s">
        <v>26</v>
      </c>
      <c r="G147" s="196" t="s">
        <v>274</v>
      </c>
      <c r="H147" s="180" t="s">
        <v>652</v>
      </c>
      <c r="J147" s="176" t="b">
        <f>EXACT(G147,'Vh5205_C-80'!G147)</f>
        <v>1</v>
      </c>
    </row>
    <row r="148" spans="1:10" x14ac:dyDescent="0.35">
      <c r="A148" s="90">
        <v>144</v>
      </c>
      <c r="B148" s="111" t="s">
        <v>706</v>
      </c>
      <c r="C148" s="111" t="s">
        <v>287</v>
      </c>
      <c r="D148" s="111"/>
      <c r="E148" s="111"/>
      <c r="F148" s="18" t="s">
        <v>26</v>
      </c>
      <c r="G148" s="197" t="s">
        <v>281</v>
      </c>
      <c r="H148" s="177" t="s">
        <v>652</v>
      </c>
      <c r="J148" s="176" t="b">
        <f>EXACT(G148,'Vh5205_C-80'!G148)</f>
        <v>1</v>
      </c>
    </row>
    <row r="149" spans="1:10" x14ac:dyDescent="0.35">
      <c r="A149" s="90">
        <v>145</v>
      </c>
      <c r="B149" s="5" t="s">
        <v>706</v>
      </c>
      <c r="C149" s="5" t="s">
        <v>366</v>
      </c>
      <c r="D149" s="5"/>
      <c r="E149" s="5"/>
      <c r="F149" s="19" t="s">
        <v>26</v>
      </c>
      <c r="G149" s="161" t="s">
        <v>288</v>
      </c>
      <c r="H149" s="177" t="s">
        <v>652</v>
      </c>
      <c r="J149" s="176" t="b">
        <f>EXACT(G149,'Vh5205_C-80'!G149)</f>
        <v>1</v>
      </c>
    </row>
    <row r="150" spans="1:10" x14ac:dyDescent="0.35">
      <c r="A150" s="90">
        <v>146</v>
      </c>
      <c r="B150" s="93" t="s">
        <v>706</v>
      </c>
      <c r="C150" s="93" t="s">
        <v>367</v>
      </c>
      <c r="D150" s="93"/>
      <c r="E150" s="93"/>
      <c r="F150" s="22" t="s">
        <v>26</v>
      </c>
      <c r="G150" s="194" t="s">
        <v>524</v>
      </c>
      <c r="H150" s="180" t="s">
        <v>652</v>
      </c>
      <c r="J150" s="176" t="b">
        <f>EXACT(G150,'Vh5205_C-80'!G150)</f>
        <v>1</v>
      </c>
    </row>
    <row r="151" spans="1:10" s="7" customFormat="1" x14ac:dyDescent="0.35">
      <c r="A151" s="90">
        <v>147</v>
      </c>
      <c r="B151" s="100" t="s">
        <v>707</v>
      </c>
      <c r="C151" s="100" t="s">
        <v>169</v>
      </c>
      <c r="D151" s="146"/>
      <c r="E151" s="146"/>
      <c r="F151" s="19" t="s">
        <v>26</v>
      </c>
      <c r="G151" s="206" t="s">
        <v>541</v>
      </c>
      <c r="H151" s="177" t="s">
        <v>652</v>
      </c>
      <c r="J151" s="176" t="b">
        <f>EXACT(G151,'Vh5205_C-80'!G151)</f>
        <v>1</v>
      </c>
    </row>
    <row r="152" spans="1:10" s="7" customFormat="1" x14ac:dyDescent="0.35">
      <c r="A152" s="90">
        <v>148</v>
      </c>
      <c r="B152" s="146" t="s">
        <v>707</v>
      </c>
      <c r="C152" s="146" t="s">
        <v>192</v>
      </c>
      <c r="D152" s="146"/>
      <c r="E152" s="146"/>
      <c r="F152" s="48" t="s">
        <v>26</v>
      </c>
      <c r="G152" s="192" t="s">
        <v>542</v>
      </c>
      <c r="H152" s="177" t="s">
        <v>652</v>
      </c>
      <c r="J152" s="176" t="b">
        <f>EXACT(G152,'Vh5205_C-80'!G152)</f>
        <v>1</v>
      </c>
    </row>
    <row r="153" spans="1:10" s="7" customFormat="1" x14ac:dyDescent="0.35">
      <c r="A153" s="90">
        <v>149</v>
      </c>
      <c r="B153" s="146" t="s">
        <v>707</v>
      </c>
      <c r="C153" s="146" t="s">
        <v>170</v>
      </c>
      <c r="D153" s="146"/>
      <c r="E153" s="146"/>
      <c r="F153" s="48" t="s">
        <v>26</v>
      </c>
      <c r="G153" s="192" t="s">
        <v>275</v>
      </c>
      <c r="H153" s="177" t="s">
        <v>652</v>
      </c>
      <c r="J153" s="176" t="b">
        <f>EXACT(G153,'Vh5205_C-80'!G153)</f>
        <v>1</v>
      </c>
    </row>
    <row r="154" spans="1:10" s="7" customFormat="1" x14ac:dyDescent="0.35">
      <c r="A154" s="90">
        <v>150</v>
      </c>
      <c r="B154" s="146" t="s">
        <v>707</v>
      </c>
      <c r="C154" s="146" t="s">
        <v>280</v>
      </c>
      <c r="D154" s="146"/>
      <c r="E154" s="146"/>
      <c r="F154" s="48" t="s">
        <v>79</v>
      </c>
      <c r="G154" s="161" t="s">
        <v>494</v>
      </c>
      <c r="H154" s="177" t="s">
        <v>652</v>
      </c>
      <c r="J154" s="176" t="b">
        <f>EXACT(G154,'Vh5205_C-80'!G154)</f>
        <v>1</v>
      </c>
    </row>
    <row r="155" spans="1:10" s="7" customFormat="1" x14ac:dyDescent="0.35">
      <c r="A155" s="90">
        <v>151</v>
      </c>
      <c r="B155" s="146" t="s">
        <v>707</v>
      </c>
      <c r="C155" s="146" t="s">
        <v>44</v>
      </c>
      <c r="D155" s="146"/>
      <c r="E155" s="146"/>
      <c r="F155" s="48" t="s">
        <v>79</v>
      </c>
      <c r="G155" s="205" t="s">
        <v>495</v>
      </c>
      <c r="H155" s="177" t="s">
        <v>652</v>
      </c>
      <c r="J155" s="176" t="b">
        <f>EXACT(G155,'Vh5205_C-80'!G155)</f>
        <v>1</v>
      </c>
    </row>
    <row r="156" spans="1:10" s="7" customFormat="1" x14ac:dyDescent="0.35">
      <c r="A156" s="90">
        <v>152</v>
      </c>
      <c r="B156" s="10" t="s">
        <v>707</v>
      </c>
      <c r="C156" s="10" t="s">
        <v>289</v>
      </c>
      <c r="D156" s="146"/>
      <c r="E156" s="146"/>
      <c r="F156" s="165" t="s">
        <v>79</v>
      </c>
      <c r="G156" s="192" t="s">
        <v>524</v>
      </c>
      <c r="H156" s="177" t="s">
        <v>652</v>
      </c>
      <c r="J156" s="176" t="b">
        <f>EXACT(G156,'Vh5205_C-80'!G156)</f>
        <v>1</v>
      </c>
    </row>
    <row r="157" spans="1:10" s="7" customFormat="1" x14ac:dyDescent="0.35">
      <c r="A157" s="90">
        <v>153</v>
      </c>
      <c r="B157" s="146" t="s">
        <v>707</v>
      </c>
      <c r="C157" s="146" t="s">
        <v>279</v>
      </c>
      <c r="D157" s="146"/>
      <c r="E157" s="146"/>
      <c r="F157" s="48" t="s">
        <v>79</v>
      </c>
      <c r="G157" s="192" t="s">
        <v>385</v>
      </c>
      <c r="H157" s="177" t="s">
        <v>652</v>
      </c>
      <c r="J157" s="176" t="b">
        <f>EXACT(G157,'Vh5205_C-80'!G157)</f>
        <v>1</v>
      </c>
    </row>
    <row r="158" spans="1:10" s="7" customFormat="1" x14ac:dyDescent="0.35">
      <c r="A158" s="90">
        <v>154</v>
      </c>
      <c r="B158" s="10" t="s">
        <v>707</v>
      </c>
      <c r="C158" s="10" t="s">
        <v>31</v>
      </c>
      <c r="D158" s="146"/>
      <c r="E158" s="146" t="s">
        <v>194</v>
      </c>
      <c r="F158" s="48" t="s">
        <v>26</v>
      </c>
      <c r="G158" s="199" t="s">
        <v>496</v>
      </c>
      <c r="H158" s="177" t="s">
        <v>652</v>
      </c>
      <c r="J158" s="176" t="b">
        <f>EXACT(G158,'Vh5205_C-80'!G158)</f>
        <v>1</v>
      </c>
    </row>
    <row r="159" spans="1:10" s="7" customFormat="1" x14ac:dyDescent="0.35">
      <c r="A159" s="90">
        <v>155</v>
      </c>
      <c r="B159" s="10" t="s">
        <v>707</v>
      </c>
      <c r="C159" s="10" t="s">
        <v>32</v>
      </c>
      <c r="D159" s="146"/>
      <c r="E159" s="146" t="s">
        <v>586</v>
      </c>
      <c r="F159" s="48" t="s">
        <v>26</v>
      </c>
      <c r="G159" s="198" t="s">
        <v>497</v>
      </c>
      <c r="H159" s="177" t="s">
        <v>652</v>
      </c>
      <c r="J159" s="176" t="b">
        <f>EXACT(G159,'Vh5205_C-80'!G159)</f>
        <v>1</v>
      </c>
    </row>
    <row r="160" spans="1:10" s="7" customFormat="1" x14ac:dyDescent="0.35">
      <c r="A160" s="90">
        <v>156</v>
      </c>
      <c r="B160" s="10" t="s">
        <v>707</v>
      </c>
      <c r="C160" s="10" t="s">
        <v>291</v>
      </c>
      <c r="D160" s="146"/>
      <c r="E160" s="146" t="s">
        <v>2</v>
      </c>
      <c r="F160" s="48" t="s">
        <v>26</v>
      </c>
      <c r="G160" s="192">
        <v>25</v>
      </c>
      <c r="H160" s="177" t="s">
        <v>652</v>
      </c>
      <c r="J160" s="176" t="b">
        <f>EXACT(G160,'Vh5205_C-80'!G160)</f>
        <v>1</v>
      </c>
    </row>
    <row r="161" spans="1:10" s="7" customFormat="1" x14ac:dyDescent="0.35">
      <c r="A161" s="90">
        <v>157</v>
      </c>
      <c r="B161" s="146" t="s">
        <v>707</v>
      </c>
      <c r="C161" s="146" t="s">
        <v>293</v>
      </c>
      <c r="D161" s="146"/>
      <c r="E161" s="146"/>
      <c r="F161" s="165" t="s">
        <v>26</v>
      </c>
      <c r="G161" s="192" t="s">
        <v>196</v>
      </c>
      <c r="H161" s="177" t="s">
        <v>652</v>
      </c>
      <c r="J161" s="176" t="b">
        <f>EXACT(G161,'Vh5205_C-80'!G161)</f>
        <v>1</v>
      </c>
    </row>
    <row r="162" spans="1:10" s="7" customFormat="1" x14ac:dyDescent="0.35">
      <c r="A162" s="90">
        <v>158</v>
      </c>
      <c r="B162" s="104" t="s">
        <v>707</v>
      </c>
      <c r="C162" s="104" t="s">
        <v>161</v>
      </c>
      <c r="D162" s="104"/>
      <c r="E162" s="104"/>
      <c r="F162" s="165" t="s">
        <v>79</v>
      </c>
      <c r="G162" s="161" t="s">
        <v>539</v>
      </c>
      <c r="H162" s="177" t="s">
        <v>652</v>
      </c>
      <c r="J162" s="176" t="b">
        <f>EXACT(G162,'Vh5205_C-80'!G162)</f>
        <v>1</v>
      </c>
    </row>
    <row r="163" spans="1:10" x14ac:dyDescent="0.35">
      <c r="A163" s="90">
        <v>159</v>
      </c>
      <c r="B163" s="104" t="s">
        <v>707</v>
      </c>
      <c r="C163" s="104" t="s">
        <v>358</v>
      </c>
      <c r="D163" s="104"/>
      <c r="E163" s="104"/>
      <c r="F163" s="165" t="s">
        <v>26</v>
      </c>
      <c r="G163" s="195">
        <v>44735</v>
      </c>
      <c r="H163" s="140"/>
      <c r="J163" s="2" t="b">
        <f>EXACT(G163,'Vh5205_C-80'!G163)</f>
        <v>1</v>
      </c>
    </row>
    <row r="164" spans="1:10" x14ac:dyDescent="0.35">
      <c r="A164" s="90">
        <v>160</v>
      </c>
      <c r="B164" s="104" t="s">
        <v>707</v>
      </c>
      <c r="C164" s="104" t="s">
        <v>271</v>
      </c>
      <c r="D164" s="104"/>
      <c r="E164" s="104"/>
      <c r="F164" s="165" t="s">
        <v>26</v>
      </c>
      <c r="G164" s="161" t="s">
        <v>492</v>
      </c>
      <c r="H164" s="177" t="s">
        <v>652</v>
      </c>
      <c r="J164" s="176" t="b">
        <f>EXACT(G164,'Vh5205_C-80'!G164)</f>
        <v>1</v>
      </c>
    </row>
    <row r="165" spans="1:10" s="7" customFormat="1" x14ac:dyDescent="0.35">
      <c r="A165" s="90">
        <v>161</v>
      </c>
      <c r="B165" s="146" t="s">
        <v>707</v>
      </c>
      <c r="C165" s="146" t="s">
        <v>119</v>
      </c>
      <c r="D165" s="146"/>
      <c r="E165" s="146"/>
      <c r="F165" s="165" t="s">
        <v>26</v>
      </c>
      <c r="G165" s="161">
        <v>1</v>
      </c>
      <c r="H165" s="177" t="s">
        <v>652</v>
      </c>
      <c r="J165" s="176" t="b">
        <f>EXACT(G165,'Vh5205_C-80'!G165)</f>
        <v>1</v>
      </c>
    </row>
    <row r="166" spans="1:10" s="7" customFormat="1" x14ac:dyDescent="0.35">
      <c r="A166" s="90">
        <v>162</v>
      </c>
      <c r="B166" s="146" t="s">
        <v>707</v>
      </c>
      <c r="C166" s="146" t="s">
        <v>145</v>
      </c>
      <c r="D166" s="146"/>
      <c r="E166" s="10" t="s">
        <v>171</v>
      </c>
      <c r="F166" s="165" t="s">
        <v>26</v>
      </c>
      <c r="G166" s="161" t="s">
        <v>543</v>
      </c>
      <c r="H166" s="177" t="s">
        <v>652</v>
      </c>
      <c r="J166" s="176" t="b">
        <f>EXACT(G166,'Vh5205_C-80'!G166)</f>
        <v>1</v>
      </c>
    </row>
    <row r="167" spans="1:10" s="7" customFormat="1" x14ac:dyDescent="0.35">
      <c r="A167" s="90">
        <v>163</v>
      </c>
      <c r="B167" s="87" t="s">
        <v>707</v>
      </c>
      <c r="C167" s="87" t="s">
        <v>120</v>
      </c>
      <c r="D167" s="87"/>
      <c r="E167" s="87"/>
      <c r="F167" s="21" t="s">
        <v>26</v>
      </c>
      <c r="G167" s="194" t="s">
        <v>276</v>
      </c>
      <c r="H167" s="180" t="s">
        <v>652</v>
      </c>
      <c r="J167" s="176" t="b">
        <f>EXACT(G167,'Vh5205_C-80'!G167)</f>
        <v>1</v>
      </c>
    </row>
    <row r="168" spans="1:10" s="7" customFormat="1" x14ac:dyDescent="0.35">
      <c r="A168" s="90"/>
      <c r="B168" s="10" t="s">
        <v>708</v>
      </c>
      <c r="C168" s="10"/>
      <c r="D168" s="146"/>
      <c r="E168" s="146"/>
      <c r="F168" s="20"/>
      <c r="G168" s="208"/>
      <c r="H168" s="180"/>
      <c r="J168" s="1" t="b">
        <f>EXACT(G168,'Vh5205_C-80'!G168)</f>
        <v>1</v>
      </c>
    </row>
    <row r="169" spans="1:10" s="7" customFormat="1" ht="46.5" x14ac:dyDescent="0.35">
      <c r="A169" s="90">
        <v>164</v>
      </c>
      <c r="B169" s="102" t="s">
        <v>709</v>
      </c>
      <c r="C169" s="102" t="s">
        <v>588</v>
      </c>
      <c r="D169" s="100"/>
      <c r="E169" s="100"/>
      <c r="F169" s="18" t="s">
        <v>26</v>
      </c>
      <c r="G169" s="197" t="s">
        <v>657</v>
      </c>
      <c r="H169" s="177" t="s">
        <v>652</v>
      </c>
      <c r="J169" s="176" t="b">
        <f>EXACT(G169,'Vh5205_C-80'!G169)</f>
        <v>1</v>
      </c>
    </row>
    <row r="170" spans="1:10" s="7" customFormat="1" ht="31" x14ac:dyDescent="0.35">
      <c r="A170" s="90">
        <v>165</v>
      </c>
      <c r="B170" s="10" t="s">
        <v>709</v>
      </c>
      <c r="C170" s="10" t="s">
        <v>589</v>
      </c>
      <c r="D170" s="146"/>
      <c r="E170" s="146"/>
      <c r="F170" s="167" t="s">
        <v>26</v>
      </c>
      <c r="G170" s="161" t="s">
        <v>622</v>
      </c>
      <c r="H170" s="177" t="s">
        <v>652</v>
      </c>
      <c r="J170" s="176" t="b">
        <f>EXACT(G170,'Vh5205_C-80'!G170)</f>
        <v>1</v>
      </c>
    </row>
    <row r="171" spans="1:10" s="7" customFormat="1" ht="17.5" x14ac:dyDescent="0.35">
      <c r="A171" s="90">
        <v>166</v>
      </c>
      <c r="B171" s="10" t="s">
        <v>709</v>
      </c>
      <c r="C171" s="10" t="s">
        <v>498</v>
      </c>
      <c r="D171" s="146"/>
      <c r="E171" s="146"/>
      <c r="F171" s="167" t="s">
        <v>26</v>
      </c>
      <c r="G171" s="161" t="s">
        <v>658</v>
      </c>
      <c r="H171" s="177" t="s">
        <v>652</v>
      </c>
      <c r="J171" s="176" t="b">
        <f>EXACT(G171,'Vh5205_C-80'!G171)</f>
        <v>1</v>
      </c>
    </row>
    <row r="172" spans="1:10" s="7" customFormat="1" x14ac:dyDescent="0.35">
      <c r="A172" s="90">
        <v>167</v>
      </c>
      <c r="B172" s="10" t="s">
        <v>709</v>
      </c>
      <c r="C172" s="10" t="s">
        <v>313</v>
      </c>
      <c r="D172" s="146"/>
      <c r="E172" s="146"/>
      <c r="F172" s="48" t="s">
        <v>26</v>
      </c>
      <c r="G172" s="192" t="s">
        <v>48</v>
      </c>
      <c r="H172" s="177" t="s">
        <v>652</v>
      </c>
      <c r="J172" s="176" t="b">
        <f>EXACT(G172,'Vh5205_C-80'!G172)</f>
        <v>1</v>
      </c>
    </row>
    <row r="173" spans="1:10" s="7" customFormat="1" x14ac:dyDescent="0.35">
      <c r="A173" s="90">
        <v>168</v>
      </c>
      <c r="B173" s="146" t="s">
        <v>709</v>
      </c>
      <c r="C173" s="146" t="s">
        <v>306</v>
      </c>
      <c r="D173" s="146"/>
      <c r="E173" s="146"/>
      <c r="F173" s="48" t="s">
        <v>26</v>
      </c>
      <c r="G173" s="192" t="s">
        <v>524</v>
      </c>
      <c r="H173" s="177" t="s">
        <v>652</v>
      </c>
      <c r="J173" s="176" t="b">
        <f>EXACT(G173,'Vh5205_C-80'!G173)</f>
        <v>1</v>
      </c>
    </row>
    <row r="174" spans="1:10" s="7" customFormat="1" x14ac:dyDescent="0.35">
      <c r="A174" s="90">
        <v>169</v>
      </c>
      <c r="B174" s="87" t="s">
        <v>709</v>
      </c>
      <c r="C174" s="87" t="s">
        <v>307</v>
      </c>
      <c r="D174" s="87"/>
      <c r="E174" s="87"/>
      <c r="F174" s="22" t="s">
        <v>79</v>
      </c>
      <c r="G174" s="196"/>
      <c r="H174" s="180"/>
      <c r="J174" s="1" t="b">
        <f>EXACT(G174,'Vh5205_C-80'!G174)</f>
        <v>1</v>
      </c>
    </row>
    <row r="175" spans="1:10" s="7" customFormat="1" x14ac:dyDescent="0.35">
      <c r="A175" s="90">
        <v>170</v>
      </c>
      <c r="B175" s="146" t="s">
        <v>710</v>
      </c>
      <c r="C175" s="146" t="s">
        <v>10</v>
      </c>
      <c r="D175" s="146" t="s">
        <v>146</v>
      </c>
      <c r="E175" s="146" t="s">
        <v>2</v>
      </c>
      <c r="F175" s="19" t="s">
        <v>26</v>
      </c>
      <c r="G175" s="209">
        <v>6</v>
      </c>
      <c r="H175" s="177"/>
      <c r="J175" s="1" t="b">
        <f>EXACT(G175,'Vh5205_C-80'!G175)</f>
        <v>1</v>
      </c>
    </row>
    <row r="176" spans="1:10" s="7" customFormat="1" ht="17.5" x14ac:dyDescent="0.35">
      <c r="A176" s="90">
        <v>171</v>
      </c>
      <c r="B176" s="146" t="s">
        <v>710</v>
      </c>
      <c r="C176" s="146" t="s">
        <v>11</v>
      </c>
      <c r="D176" s="146" t="s">
        <v>591</v>
      </c>
      <c r="E176" s="146" t="s">
        <v>2</v>
      </c>
      <c r="F176" s="19" t="s">
        <v>26</v>
      </c>
      <c r="G176" s="210">
        <v>24</v>
      </c>
      <c r="H176" s="177"/>
      <c r="J176" s="1" t="b">
        <f>EXACT(G176,'Vh5205_C-80'!G176)</f>
        <v>1</v>
      </c>
    </row>
    <row r="177" spans="1:10" s="7" customFormat="1" ht="17.5" x14ac:dyDescent="0.35">
      <c r="A177" s="90">
        <v>172</v>
      </c>
      <c r="B177" s="146" t="s">
        <v>710</v>
      </c>
      <c r="C177" s="146" t="s">
        <v>439</v>
      </c>
      <c r="D177" s="146" t="s">
        <v>592</v>
      </c>
      <c r="E177" s="146" t="s">
        <v>2</v>
      </c>
      <c r="F177" s="19" t="s">
        <v>26</v>
      </c>
      <c r="G177" s="192">
        <v>36</v>
      </c>
      <c r="H177" s="177" t="s">
        <v>652</v>
      </c>
      <c r="J177" s="176" t="b">
        <f>EXACT(G177,'Vh5205_C-80'!G177)</f>
        <v>1</v>
      </c>
    </row>
    <row r="178" spans="1:10" s="7" customFormat="1" x14ac:dyDescent="0.35">
      <c r="A178" s="90">
        <v>173</v>
      </c>
      <c r="B178" s="10" t="s">
        <v>710</v>
      </c>
      <c r="C178" s="10" t="s">
        <v>28</v>
      </c>
      <c r="D178" s="146" t="s">
        <v>593</v>
      </c>
      <c r="E178" s="146" t="s">
        <v>2</v>
      </c>
      <c r="F178" s="19" t="s">
        <v>26</v>
      </c>
      <c r="G178" s="211">
        <v>22.9</v>
      </c>
      <c r="H178" s="177"/>
      <c r="J178" s="1" t="b">
        <f>EXACT(G178,'Vh5205_C-80'!G178)</f>
        <v>0</v>
      </c>
    </row>
    <row r="179" spans="1:10" s="7" customFormat="1" ht="17.5" x14ac:dyDescent="0.35">
      <c r="A179" s="90">
        <v>174</v>
      </c>
      <c r="B179" s="10" t="s">
        <v>710</v>
      </c>
      <c r="C179" s="10" t="s">
        <v>29</v>
      </c>
      <c r="D179" s="10" t="s">
        <v>440</v>
      </c>
      <c r="E179" s="146" t="s">
        <v>2</v>
      </c>
      <c r="F179" s="19" t="s">
        <v>26</v>
      </c>
      <c r="G179" s="210">
        <v>24</v>
      </c>
      <c r="H179" s="177"/>
      <c r="J179" s="1" t="b">
        <f>EXACT(G179,'Vh5205_C-80'!G179)</f>
        <v>1</v>
      </c>
    </row>
    <row r="180" spans="1:10" s="7" customFormat="1" ht="17.5" x14ac:dyDescent="0.35">
      <c r="A180" s="90">
        <v>175</v>
      </c>
      <c r="B180" s="10" t="s">
        <v>710</v>
      </c>
      <c r="C180" s="10" t="s">
        <v>441</v>
      </c>
      <c r="D180" s="10" t="s">
        <v>442</v>
      </c>
      <c r="E180" s="146" t="s">
        <v>2</v>
      </c>
      <c r="F180" s="19" t="s">
        <v>26</v>
      </c>
      <c r="G180" s="192" t="s">
        <v>524</v>
      </c>
      <c r="H180" s="177" t="s">
        <v>652</v>
      </c>
      <c r="J180" s="176" t="b">
        <f>EXACT(G180,'Vh5205_C-80'!G180)</f>
        <v>1</v>
      </c>
    </row>
    <row r="181" spans="1:10" s="7" customFormat="1" ht="17.5" x14ac:dyDescent="0.35">
      <c r="A181" s="90">
        <v>176</v>
      </c>
      <c r="B181" s="10" t="s">
        <v>710</v>
      </c>
      <c r="C181" s="10" t="s">
        <v>30</v>
      </c>
      <c r="D181" s="10" t="s">
        <v>443</v>
      </c>
      <c r="E181" s="146" t="s">
        <v>2</v>
      </c>
      <c r="F181" s="19" t="s">
        <v>26</v>
      </c>
      <c r="G181" s="211">
        <v>22.9</v>
      </c>
      <c r="H181" s="177"/>
      <c r="J181" s="1" t="b">
        <f>EXACT(G181,'Vh5205_C-80'!G181)</f>
        <v>0</v>
      </c>
    </row>
    <row r="182" spans="1:10" s="7" customFormat="1" x14ac:dyDescent="0.35">
      <c r="A182" s="90">
        <v>177</v>
      </c>
      <c r="B182" s="146" t="s">
        <v>710</v>
      </c>
      <c r="C182" s="146" t="s">
        <v>444</v>
      </c>
      <c r="D182" s="10" t="s">
        <v>445</v>
      </c>
      <c r="E182" s="146" t="s">
        <v>2</v>
      </c>
      <c r="F182" s="19" t="s">
        <v>26</v>
      </c>
      <c r="G182" s="211">
        <v>4</v>
      </c>
      <c r="H182" s="177"/>
      <c r="J182" s="1" t="b">
        <f>EXACT(G182,'Vh5205_C-80'!G182)</f>
        <v>1</v>
      </c>
    </row>
    <row r="183" spans="1:10" s="7" customFormat="1" ht="17.5" x14ac:dyDescent="0.35">
      <c r="A183" s="90">
        <v>178</v>
      </c>
      <c r="B183" s="146" t="s">
        <v>710</v>
      </c>
      <c r="C183" s="146" t="s">
        <v>446</v>
      </c>
      <c r="D183" s="10" t="s">
        <v>447</v>
      </c>
      <c r="E183" s="146" t="s">
        <v>2</v>
      </c>
      <c r="F183" s="19" t="s">
        <v>26</v>
      </c>
      <c r="G183" s="203">
        <v>4.51</v>
      </c>
      <c r="H183" s="177"/>
      <c r="J183" s="1" t="b">
        <f>EXACT(G183,'Vh5205_C-80'!G183)</f>
        <v>1</v>
      </c>
    </row>
    <row r="184" spans="1:10" s="7" customFormat="1" x14ac:dyDescent="0.35">
      <c r="A184" s="90">
        <v>179</v>
      </c>
      <c r="B184" s="146" t="s">
        <v>710</v>
      </c>
      <c r="C184" s="146" t="s">
        <v>448</v>
      </c>
      <c r="D184" s="10" t="s">
        <v>449</v>
      </c>
      <c r="E184" s="146" t="s">
        <v>2</v>
      </c>
      <c r="F184" s="19" t="s">
        <v>26</v>
      </c>
      <c r="G184" s="192" t="s">
        <v>524</v>
      </c>
      <c r="H184" s="177" t="s">
        <v>652</v>
      </c>
      <c r="J184" s="176" t="b">
        <f>EXACT(G184,'Vh5205_C-80'!G184)</f>
        <v>1</v>
      </c>
    </row>
    <row r="185" spans="1:10" s="7" customFormat="1" ht="17.5" x14ac:dyDescent="0.35">
      <c r="A185" s="90">
        <v>180</v>
      </c>
      <c r="B185" s="146" t="s">
        <v>710</v>
      </c>
      <c r="C185" s="146" t="s">
        <v>450</v>
      </c>
      <c r="D185" s="10" t="s">
        <v>451</v>
      </c>
      <c r="E185" s="146" t="s">
        <v>2</v>
      </c>
      <c r="F185" s="19" t="s">
        <v>26</v>
      </c>
      <c r="G185" s="192" t="s">
        <v>524</v>
      </c>
      <c r="H185" s="177" t="s">
        <v>652</v>
      </c>
      <c r="J185" s="176" t="b">
        <f>EXACT(G185,'Vh5205_C-80'!G185)</f>
        <v>1</v>
      </c>
    </row>
    <row r="186" spans="1:10" s="7" customFormat="1" x14ac:dyDescent="0.35">
      <c r="A186" s="90">
        <v>181</v>
      </c>
      <c r="B186" s="146" t="s">
        <v>710</v>
      </c>
      <c r="C186" s="146" t="s">
        <v>452</v>
      </c>
      <c r="D186" s="10" t="s">
        <v>453</v>
      </c>
      <c r="E186" s="146" t="s">
        <v>2</v>
      </c>
      <c r="F186" s="19" t="s">
        <v>26</v>
      </c>
      <c r="G186" s="211">
        <v>3.8</v>
      </c>
      <c r="H186" s="177"/>
      <c r="J186" s="1" t="b">
        <f>EXACT(G186,'Vh5205_C-80'!G186)</f>
        <v>1</v>
      </c>
    </row>
    <row r="187" spans="1:10" s="7" customFormat="1" ht="17.5" x14ac:dyDescent="0.35">
      <c r="A187" s="90">
        <v>182</v>
      </c>
      <c r="B187" s="87" t="s">
        <v>710</v>
      </c>
      <c r="C187" s="87" t="s">
        <v>454</v>
      </c>
      <c r="D187" s="13" t="s">
        <v>455</v>
      </c>
      <c r="E187" s="87" t="s">
        <v>2</v>
      </c>
      <c r="F187" s="22" t="s">
        <v>26</v>
      </c>
      <c r="G187" s="212">
        <v>4.3099999999999996</v>
      </c>
      <c r="H187" s="180"/>
      <c r="J187" s="1" t="b">
        <f>EXACT(G187,'Vh5205_C-80'!G187)</f>
        <v>0</v>
      </c>
    </row>
    <row r="188" spans="1:10" s="7" customFormat="1" x14ac:dyDescent="0.35">
      <c r="A188" s="90">
        <v>183</v>
      </c>
      <c r="B188" s="146" t="s">
        <v>711</v>
      </c>
      <c r="C188" s="146" t="s">
        <v>45</v>
      </c>
      <c r="D188" s="146" t="s">
        <v>36</v>
      </c>
      <c r="E188" s="146" t="s">
        <v>314</v>
      </c>
      <c r="F188" s="19" t="s">
        <v>26</v>
      </c>
      <c r="G188" s="192" t="s">
        <v>544</v>
      </c>
      <c r="H188" s="177" t="s">
        <v>652</v>
      </c>
      <c r="J188" s="176" t="b">
        <f>EXACT(G188,'Vh5205_C-80'!G188)</f>
        <v>1</v>
      </c>
    </row>
    <row r="189" spans="1:10" s="7" customFormat="1" x14ac:dyDescent="0.35">
      <c r="A189" s="90">
        <v>184</v>
      </c>
      <c r="B189" s="10" t="s">
        <v>711</v>
      </c>
      <c r="C189" s="10" t="s">
        <v>47</v>
      </c>
      <c r="D189" s="106" t="s">
        <v>597</v>
      </c>
      <c r="E189" s="146" t="s">
        <v>2</v>
      </c>
      <c r="F189" s="19" t="s">
        <v>79</v>
      </c>
      <c r="G189" s="161"/>
      <c r="H189" s="177"/>
      <c r="J189" s="1" t="b">
        <f>EXACT(G189,'Vh5205_C-80'!G189)</f>
        <v>1</v>
      </c>
    </row>
    <row r="190" spans="1:10" s="7" customFormat="1" ht="17.5" x14ac:dyDescent="0.35">
      <c r="A190" s="90">
        <v>185</v>
      </c>
      <c r="B190" s="10" t="s">
        <v>711</v>
      </c>
      <c r="C190" s="10" t="s">
        <v>175</v>
      </c>
      <c r="D190" s="106" t="s">
        <v>598</v>
      </c>
      <c r="E190" s="146" t="s">
        <v>2</v>
      </c>
      <c r="F190" s="19" t="s">
        <v>79</v>
      </c>
      <c r="G190" s="161"/>
      <c r="H190" s="177"/>
      <c r="J190" s="1" t="b">
        <f>EXACT(G190,'Vh5205_C-80'!G190)</f>
        <v>1</v>
      </c>
    </row>
    <row r="191" spans="1:10" s="7" customFormat="1" x14ac:dyDescent="0.35">
      <c r="A191" s="90">
        <v>186</v>
      </c>
      <c r="B191" s="146" t="s">
        <v>711</v>
      </c>
      <c r="C191" s="146" t="s">
        <v>12</v>
      </c>
      <c r="D191" s="146"/>
      <c r="E191" s="146" t="s">
        <v>5</v>
      </c>
      <c r="F191" s="19" t="s">
        <v>26</v>
      </c>
      <c r="G191" s="161">
        <v>2.99</v>
      </c>
      <c r="H191" s="177"/>
      <c r="J191" s="1" t="b">
        <f>EXACT(G191,'Vh5205_C-80'!G191)</f>
        <v>0</v>
      </c>
    </row>
    <row r="192" spans="1:10" s="7" customFormat="1" x14ac:dyDescent="0.35">
      <c r="A192" s="90">
        <v>187</v>
      </c>
      <c r="B192" s="146" t="s">
        <v>711</v>
      </c>
      <c r="C192" s="146" t="s">
        <v>53</v>
      </c>
      <c r="D192" s="146"/>
      <c r="E192" s="146" t="s">
        <v>5</v>
      </c>
      <c r="F192" s="19" t="s">
        <v>26</v>
      </c>
      <c r="G192" s="161">
        <v>1.58</v>
      </c>
      <c r="H192" s="177"/>
      <c r="J192" s="1" t="b">
        <f>EXACT(G192,'Vh5205_C-80'!G192)</f>
        <v>0</v>
      </c>
    </row>
    <row r="193" spans="1:10" s="7" customFormat="1" x14ac:dyDescent="0.35">
      <c r="A193" s="90">
        <v>188</v>
      </c>
      <c r="B193" s="146" t="s">
        <v>711</v>
      </c>
      <c r="C193" s="146" t="s">
        <v>8</v>
      </c>
      <c r="D193" s="146" t="s">
        <v>36</v>
      </c>
      <c r="E193" s="146" t="s">
        <v>5</v>
      </c>
      <c r="F193" s="22" t="s">
        <v>26</v>
      </c>
      <c r="G193" s="213">
        <v>74.5</v>
      </c>
      <c r="H193" s="180"/>
      <c r="J193" s="1" t="b">
        <f>EXACT(G193,'Vh5205_C-80'!G193)</f>
        <v>0</v>
      </c>
    </row>
    <row r="194" spans="1:10" s="7" customFormat="1" ht="17.5" x14ac:dyDescent="0.35">
      <c r="A194" s="90">
        <v>189</v>
      </c>
      <c r="B194" s="100" t="s">
        <v>712</v>
      </c>
      <c r="C194" s="100" t="s">
        <v>118</v>
      </c>
      <c r="D194" s="100" t="s">
        <v>599</v>
      </c>
      <c r="E194" s="100" t="s">
        <v>5</v>
      </c>
      <c r="F194" s="19" t="s">
        <v>26</v>
      </c>
      <c r="G194" s="214">
        <v>74.5</v>
      </c>
      <c r="H194" s="177"/>
      <c r="J194" s="1" t="b">
        <f>EXACT(G194,'Vh5205_C-80'!G194)</f>
        <v>0</v>
      </c>
    </row>
    <row r="195" spans="1:10" s="7" customFormat="1" x14ac:dyDescent="0.35">
      <c r="A195" s="90">
        <v>190</v>
      </c>
      <c r="B195" s="10" t="s">
        <v>712</v>
      </c>
      <c r="C195" s="10" t="s">
        <v>176</v>
      </c>
      <c r="D195" s="146"/>
      <c r="E195" s="146"/>
      <c r="F195" s="19" t="s">
        <v>26</v>
      </c>
      <c r="G195" s="161" t="s">
        <v>533</v>
      </c>
      <c r="H195" s="177"/>
      <c r="J195" s="1" t="b">
        <f>EXACT(G195,'Vh5205_C-80'!G195)</f>
        <v>1</v>
      </c>
    </row>
    <row r="196" spans="1:10" s="7" customFormat="1" x14ac:dyDescent="0.35">
      <c r="A196" s="90">
        <v>191</v>
      </c>
      <c r="B196" s="13" t="s">
        <v>712</v>
      </c>
      <c r="C196" s="13" t="s">
        <v>38</v>
      </c>
      <c r="D196" s="87" t="s">
        <v>49</v>
      </c>
      <c r="E196" s="87" t="s">
        <v>2</v>
      </c>
      <c r="F196" s="22" t="s">
        <v>79</v>
      </c>
      <c r="G196" s="215">
        <v>30.3</v>
      </c>
      <c r="H196" s="180"/>
      <c r="J196" s="1" t="b">
        <f>EXACT(G196,'Vh5205_C-80'!G196)</f>
        <v>0</v>
      </c>
    </row>
    <row r="197" spans="1:10" s="7" customFormat="1" ht="17.5" x14ac:dyDescent="0.35">
      <c r="A197" s="90">
        <v>192</v>
      </c>
      <c r="B197" s="10" t="s">
        <v>711</v>
      </c>
      <c r="C197" s="10" t="s">
        <v>22</v>
      </c>
      <c r="D197" s="10" t="s">
        <v>46</v>
      </c>
      <c r="E197" s="10" t="s">
        <v>3</v>
      </c>
      <c r="F197" s="19" t="s">
        <v>26</v>
      </c>
      <c r="G197" s="192" t="s">
        <v>545</v>
      </c>
      <c r="H197" s="177" t="s">
        <v>652</v>
      </c>
      <c r="J197" s="176" t="b">
        <f>EXACT(G197,'Vh5205_C-80'!G197)</f>
        <v>1</v>
      </c>
    </row>
    <row r="198" spans="1:10" s="7" customFormat="1" x14ac:dyDescent="0.35">
      <c r="A198" s="90">
        <v>193</v>
      </c>
      <c r="B198" s="10" t="s">
        <v>711</v>
      </c>
      <c r="C198" s="10" t="s">
        <v>193</v>
      </c>
      <c r="D198" s="5"/>
      <c r="E198" s="10" t="s">
        <v>0</v>
      </c>
      <c r="F198" s="19" t="s">
        <v>26</v>
      </c>
      <c r="G198" s="192" t="s">
        <v>659</v>
      </c>
      <c r="H198" s="177" t="s">
        <v>652</v>
      </c>
      <c r="J198" s="176" t="b">
        <f>EXACT(G198,'Vh5205_C-80'!G198)</f>
        <v>1</v>
      </c>
    </row>
    <row r="199" spans="1:10" s="7" customFormat="1" x14ac:dyDescent="0.35">
      <c r="A199" s="90">
        <v>194</v>
      </c>
      <c r="B199" s="146" t="s">
        <v>711</v>
      </c>
      <c r="C199" s="146" t="s">
        <v>13</v>
      </c>
      <c r="D199" s="146"/>
      <c r="E199" s="146" t="s">
        <v>6</v>
      </c>
      <c r="F199" s="19" t="s">
        <v>79</v>
      </c>
      <c r="G199" s="161"/>
      <c r="H199" s="177"/>
      <c r="J199" s="1" t="b">
        <f>EXACT(G199,'Vh5205_C-80'!G199)</f>
        <v>1</v>
      </c>
    </row>
    <row r="200" spans="1:10" s="7" customFormat="1" x14ac:dyDescent="0.35">
      <c r="A200" s="90">
        <v>195</v>
      </c>
      <c r="B200" s="146" t="s">
        <v>711</v>
      </c>
      <c r="C200" s="146" t="s">
        <v>14</v>
      </c>
      <c r="D200" s="146"/>
      <c r="E200" s="146" t="s">
        <v>6</v>
      </c>
      <c r="F200" s="19" t="s">
        <v>79</v>
      </c>
      <c r="G200" s="161"/>
      <c r="H200" s="177"/>
      <c r="J200" s="1" t="b">
        <f>EXACT(G200,'Vh5205_C-80'!G200)</f>
        <v>1</v>
      </c>
    </row>
    <row r="201" spans="1:10" s="7" customFormat="1" x14ac:dyDescent="0.35">
      <c r="A201" s="90">
        <v>196</v>
      </c>
      <c r="B201" s="146" t="s">
        <v>711</v>
      </c>
      <c r="C201" s="146" t="s">
        <v>19</v>
      </c>
      <c r="D201" s="146"/>
      <c r="E201" s="146" t="s">
        <v>113</v>
      </c>
      <c r="F201" s="19" t="s">
        <v>79</v>
      </c>
      <c r="G201" s="161"/>
      <c r="H201" s="177"/>
      <c r="J201" s="1" t="b">
        <f>EXACT(G201,'Vh5205_C-80'!G201)</f>
        <v>1</v>
      </c>
    </row>
    <row r="202" spans="1:10" s="7" customFormat="1" x14ac:dyDescent="0.35">
      <c r="A202" s="90">
        <v>197</v>
      </c>
      <c r="B202" s="146" t="s">
        <v>711</v>
      </c>
      <c r="C202" s="146" t="s">
        <v>20</v>
      </c>
      <c r="D202" s="146"/>
      <c r="E202" s="146" t="s">
        <v>113</v>
      </c>
      <c r="F202" s="19" t="s">
        <v>79</v>
      </c>
      <c r="G202" s="161"/>
      <c r="H202" s="177"/>
      <c r="J202" s="1" t="b">
        <f>EXACT(G202,'Vh5205_C-80'!G202)</f>
        <v>1</v>
      </c>
    </row>
    <row r="203" spans="1:10" s="7" customFormat="1" x14ac:dyDescent="0.35">
      <c r="A203" s="90">
        <v>198</v>
      </c>
      <c r="B203" s="13" t="s">
        <v>711</v>
      </c>
      <c r="C203" s="13" t="s">
        <v>317</v>
      </c>
      <c r="D203" s="10" t="s">
        <v>35</v>
      </c>
      <c r="E203" s="10" t="s">
        <v>1</v>
      </c>
      <c r="F203" s="22" t="s">
        <v>26</v>
      </c>
      <c r="G203" s="194" t="s">
        <v>626</v>
      </c>
      <c r="H203" s="180" t="s">
        <v>652</v>
      </c>
      <c r="J203" s="176" t="b">
        <f>EXACT(G203,'Vh5205_C-80'!G203)</f>
        <v>1</v>
      </c>
    </row>
    <row r="204" spans="1:10" s="7" customFormat="1" ht="17.5" x14ac:dyDescent="0.35">
      <c r="A204" s="90">
        <v>199</v>
      </c>
      <c r="B204" s="10" t="s">
        <v>713</v>
      </c>
      <c r="C204" s="10" t="s">
        <v>180</v>
      </c>
      <c r="D204" s="102" t="s">
        <v>181</v>
      </c>
      <c r="E204" s="100" t="s">
        <v>1</v>
      </c>
      <c r="F204" s="23" t="s">
        <v>26</v>
      </c>
      <c r="G204" s="161" t="s">
        <v>524</v>
      </c>
      <c r="H204" s="177"/>
      <c r="J204" s="1" t="b">
        <f>EXACT(G204,'Vh5205_C-80'!G204)</f>
        <v>1</v>
      </c>
    </row>
    <row r="205" spans="1:10" s="7" customFormat="1" x14ac:dyDescent="0.35">
      <c r="A205" s="90">
        <v>200</v>
      </c>
      <c r="B205" s="146" t="s">
        <v>713</v>
      </c>
      <c r="C205" s="146" t="s">
        <v>37</v>
      </c>
      <c r="D205" s="146" t="s">
        <v>50</v>
      </c>
      <c r="E205" s="146" t="s">
        <v>1</v>
      </c>
      <c r="F205" s="23" t="s">
        <v>26</v>
      </c>
      <c r="G205" s="216">
        <v>26</v>
      </c>
      <c r="H205" s="177"/>
      <c r="J205" s="1" t="b">
        <f>EXACT(G205,'Vh5205_C-80'!G205)</f>
        <v>0</v>
      </c>
    </row>
    <row r="206" spans="1:10" s="7" customFormat="1" ht="17.5" x14ac:dyDescent="0.35">
      <c r="A206" s="90">
        <v>201</v>
      </c>
      <c r="B206" s="87" t="s">
        <v>713</v>
      </c>
      <c r="C206" s="87" t="s">
        <v>610</v>
      </c>
      <c r="D206" s="13" t="s">
        <v>182</v>
      </c>
      <c r="E206" s="103" t="s">
        <v>1</v>
      </c>
      <c r="F206" s="24" t="s">
        <v>26</v>
      </c>
      <c r="G206" s="217">
        <v>52</v>
      </c>
      <c r="H206" s="180"/>
      <c r="J206" s="1" t="b">
        <f>EXACT(G206,'Vh5205_C-80'!G206)</f>
        <v>0</v>
      </c>
    </row>
    <row r="207" spans="1:10" s="7" customFormat="1" x14ac:dyDescent="0.35">
      <c r="A207" s="90">
        <v>202</v>
      </c>
      <c r="B207" s="5" t="s">
        <v>714</v>
      </c>
      <c r="C207" s="5" t="s">
        <v>392</v>
      </c>
      <c r="D207" s="146"/>
      <c r="E207" s="146"/>
      <c r="F207" s="23" t="s">
        <v>26</v>
      </c>
      <c r="G207" s="161" t="s">
        <v>524</v>
      </c>
      <c r="H207" s="177" t="s">
        <v>652</v>
      </c>
      <c r="J207" s="176" t="b">
        <f>EXACT(G207,'Vh5205_C-80'!G207)</f>
        <v>1</v>
      </c>
    </row>
    <row r="208" spans="1:10" s="7" customFormat="1" x14ac:dyDescent="0.35">
      <c r="A208" s="90">
        <v>203</v>
      </c>
      <c r="B208" s="146" t="s">
        <v>714</v>
      </c>
      <c r="C208" s="146" t="s">
        <v>25</v>
      </c>
      <c r="D208" s="146" t="s">
        <v>601</v>
      </c>
      <c r="E208" s="146" t="s">
        <v>1</v>
      </c>
      <c r="F208" s="19" t="s">
        <v>26</v>
      </c>
      <c r="G208" s="218">
        <v>26.9</v>
      </c>
      <c r="H208" s="177"/>
      <c r="J208" s="1" t="b">
        <f>EXACT(G208,'Vh5205_C-80'!G208)</f>
        <v>0</v>
      </c>
    </row>
    <row r="209" spans="1:10" s="7" customFormat="1" x14ac:dyDescent="0.35">
      <c r="A209" s="90">
        <v>204</v>
      </c>
      <c r="B209" s="146" t="s">
        <v>714</v>
      </c>
      <c r="C209" s="146" t="s">
        <v>33</v>
      </c>
      <c r="D209" s="146" t="s">
        <v>602</v>
      </c>
      <c r="E209" s="146" t="s">
        <v>1</v>
      </c>
      <c r="F209" s="19" t="s">
        <v>26</v>
      </c>
      <c r="G209" s="219">
        <v>0.28000000000000003</v>
      </c>
      <c r="H209" s="177"/>
      <c r="J209" s="1" t="b">
        <f>EXACT(G209,'Vh5205_C-80'!G209)</f>
        <v>0</v>
      </c>
    </row>
    <row r="210" spans="1:10" s="7" customFormat="1" ht="17.5" x14ac:dyDescent="0.35">
      <c r="A210" s="90">
        <v>205</v>
      </c>
      <c r="B210" s="146" t="s">
        <v>714</v>
      </c>
      <c r="C210" s="146" t="s">
        <v>27</v>
      </c>
      <c r="D210" s="146" t="s">
        <v>603</v>
      </c>
      <c r="E210" s="146" t="s">
        <v>1</v>
      </c>
      <c r="F210" s="19" t="s">
        <v>26</v>
      </c>
      <c r="G210" s="219">
        <v>0.26200000000000001</v>
      </c>
      <c r="H210" s="177"/>
      <c r="J210" s="1" t="b">
        <f>EXACT(G210,'Vh5205_C-80'!G210)</f>
        <v>0</v>
      </c>
    </row>
    <row r="211" spans="1:10" s="7" customFormat="1" x14ac:dyDescent="0.35">
      <c r="A211" s="90">
        <v>206</v>
      </c>
      <c r="B211" s="146" t="s">
        <v>714</v>
      </c>
      <c r="C211" s="146" t="s">
        <v>34</v>
      </c>
      <c r="D211" s="146" t="s">
        <v>604</v>
      </c>
      <c r="E211" s="146" t="s">
        <v>1</v>
      </c>
      <c r="F211" s="19" t="s">
        <v>26</v>
      </c>
      <c r="G211" s="216">
        <v>1.7999999999999999E-2</v>
      </c>
      <c r="H211" s="177"/>
      <c r="J211" s="1" t="b">
        <f>EXACT(G211,'Vh5205_C-80'!G211)</f>
        <v>0</v>
      </c>
    </row>
    <row r="212" spans="1:10" s="7" customFormat="1" x14ac:dyDescent="0.35">
      <c r="A212" s="90">
        <v>207</v>
      </c>
      <c r="B212" s="146" t="s">
        <v>714</v>
      </c>
      <c r="C212" s="146" t="s">
        <v>24</v>
      </c>
      <c r="D212" s="146" t="s">
        <v>605</v>
      </c>
      <c r="E212" s="146" t="s">
        <v>1</v>
      </c>
      <c r="F212" s="19" t="s">
        <v>26</v>
      </c>
      <c r="G212" s="219">
        <v>26.6</v>
      </c>
      <c r="H212" s="177"/>
      <c r="J212" s="1" t="b">
        <f>EXACT(G212,'Vh5205_C-80'!G212)</f>
        <v>0</v>
      </c>
    </row>
    <row r="213" spans="1:10" s="7" customFormat="1" ht="17.5" x14ac:dyDescent="0.35">
      <c r="A213" s="123">
        <v>208</v>
      </c>
      <c r="B213" s="87" t="s">
        <v>714</v>
      </c>
      <c r="C213" s="87" t="s">
        <v>23</v>
      </c>
      <c r="D213" s="87" t="s">
        <v>606</v>
      </c>
      <c r="E213" s="87" t="s">
        <v>1</v>
      </c>
      <c r="F213" s="22" t="s">
        <v>26</v>
      </c>
      <c r="G213" s="220">
        <v>26.6</v>
      </c>
      <c r="H213" s="180"/>
      <c r="J213" s="1" t="b">
        <f>EXACT(G213,'Vh5205_C-80'!G213)</f>
        <v>0</v>
      </c>
    </row>
    <row r="220" spans="1:10" x14ac:dyDescent="0.35">
      <c r="C220" s="11"/>
    </row>
    <row r="227" spans="7:7" x14ac:dyDescent="0.35">
      <c r="G227" s="222"/>
    </row>
    <row r="228" spans="7:7" x14ac:dyDescent="0.35">
      <c r="G228" s="222"/>
    </row>
    <row r="229" spans="7:7" x14ac:dyDescent="0.35">
      <c r="G229" s="222"/>
    </row>
    <row r="230" spans="7:7" x14ac:dyDescent="0.35">
      <c r="G230" s="222"/>
    </row>
    <row r="231" spans="7:7" x14ac:dyDescent="0.35">
      <c r="G231" s="222"/>
    </row>
    <row r="232" spans="7:7" x14ac:dyDescent="0.35">
      <c r="G232" s="222"/>
    </row>
  </sheetData>
  <autoFilter ref="A3:F213" xr:uid="{0A856DFA-CB07-44AD-95A9-DB3CF6EFDDB4}"/>
  <mergeCells count="1">
    <mergeCell ref="C1:D1"/>
  </mergeCells>
  <conditionalFormatting sqref="F4:F213">
    <cfRule type="cellIs" dxfId="103" priority="343" operator="equal">
      <formula>"Mandatory"</formula>
    </cfRule>
  </conditionalFormatting>
  <conditionalFormatting sqref="F4:F213">
    <cfRule type="cellIs" dxfId="102" priority="341" operator="equal">
      <formula>"Recommended"</formula>
    </cfRule>
    <cfRule type="cellIs" dxfId="101" priority="342" operator="equal">
      <formula>"Optional"</formula>
    </cfRule>
  </conditionalFormatting>
  <conditionalFormatting sqref="F4:F213">
    <cfRule type="cellIs" dxfId="100" priority="340" operator="equal">
      <formula>"Undecided"</formula>
    </cfRule>
  </conditionalFormatting>
  <conditionalFormatting sqref="G227:G232">
    <cfRule type="cellIs" dxfId="99" priority="174" operator="notEqual">
      <formula>0</formula>
    </cfRule>
  </conditionalFormatting>
  <conditionalFormatting sqref="J4:J213">
    <cfRule type="cellIs" dxfId="98" priority="93" operator="equal">
      <formula>FALSE</formula>
    </cfRule>
    <cfRule type="cellIs" dxfId="97" priority="94" operator="equal">
      <formula>"""FALSE"""</formula>
    </cfRule>
    <cfRule type="cellIs" dxfId="96" priority="95" operator="equal">
      <formula>"""FALSE"""</formula>
    </cfRule>
  </conditionalFormatting>
  <conditionalFormatting sqref="H124:H130">
    <cfRule type="cellIs" dxfId="95" priority="89" operator="equal">
      <formula>"Mandatory"</formula>
    </cfRule>
  </conditionalFormatting>
  <conditionalFormatting sqref="H124:H130">
    <cfRule type="cellIs" dxfId="94" priority="87" operator="equal">
      <formula>"Recommended"</formula>
    </cfRule>
    <cfRule type="cellIs" dxfId="93" priority="88" operator="equal">
      <formula>"Optional"</formula>
    </cfRule>
  </conditionalFormatting>
  <conditionalFormatting sqref="H124:H130">
    <cfRule type="cellIs" dxfId="92" priority="86" operator="equal">
      <formula>"Undecided"</formula>
    </cfRule>
  </conditionalFormatting>
  <conditionalFormatting sqref="G15 G177 G180 G184:G185 G188 G197:G198 G20 G44 G34:G38 G51:G53 G68 G57:G60 G83:G85 G141 G203 G212:G213 G40">
    <cfRule type="cellIs" dxfId="91" priority="85" operator="equal">
      <formula>"Mandatory"</formula>
    </cfRule>
  </conditionalFormatting>
  <conditionalFormatting sqref="G15 G177 G180 G184:G185 G188 G197:G198 G20 G44 G34:G38 G51:G53 G68 G57:G60 G83:G85 G141 G203 G212:G213 G40">
    <cfRule type="cellIs" dxfId="90" priority="83" operator="equal">
      <formula>"Not Mandatory"</formula>
    </cfRule>
    <cfRule type="cellIs" dxfId="89" priority="84" operator="equal">
      <formula>"Recommended"</formula>
    </cfRule>
  </conditionalFormatting>
  <conditionalFormatting sqref="G44 G37:G38 G52:G53 G57:G60 G85 G40">
    <cfRule type="cellIs" dxfId="88" priority="81" operator="equal">
      <formula>"Not Mandatory"</formula>
    </cfRule>
    <cfRule type="cellIs" dxfId="87" priority="82" operator="equal">
      <formula>"Recommended"</formula>
    </cfRule>
  </conditionalFormatting>
  <conditionalFormatting sqref="G44 G37:G38 G52:G53 G57:G60 G85 G40">
    <cfRule type="cellIs" dxfId="86" priority="79" operator="equal">
      <formula>"Not Mandatory"</formula>
    </cfRule>
    <cfRule type="cellIs" dxfId="85" priority="80" operator="equal">
      <formula>"Recommended"</formula>
    </cfRule>
  </conditionalFormatting>
  <conditionalFormatting sqref="G48:G49">
    <cfRule type="cellIs" dxfId="84" priority="78" operator="equal">
      <formula>"Mandatory"</formula>
    </cfRule>
  </conditionalFormatting>
  <conditionalFormatting sqref="G48:G49">
    <cfRule type="cellIs" dxfId="83" priority="76" operator="equal">
      <formula>"Not Mandatory"</formula>
    </cfRule>
    <cfRule type="cellIs" dxfId="82" priority="77" operator="equal">
      <formula>"Recommended"</formula>
    </cfRule>
  </conditionalFormatting>
  <conditionalFormatting sqref="G48:G49">
    <cfRule type="cellIs" dxfId="81" priority="74" operator="equal">
      <formula>"Not Mandatory"</formula>
    </cfRule>
    <cfRule type="cellIs" dxfId="80" priority="75" operator="equal">
      <formula>"Recommended"</formula>
    </cfRule>
  </conditionalFormatting>
  <conditionalFormatting sqref="G48:G49">
    <cfRule type="cellIs" dxfId="79" priority="72" operator="equal">
      <formula>"Not Mandatory"</formula>
    </cfRule>
    <cfRule type="cellIs" dxfId="78" priority="73" operator="equal">
      <formula>"Recommended"</formula>
    </cfRule>
  </conditionalFormatting>
  <conditionalFormatting sqref="G69">
    <cfRule type="cellIs" dxfId="77" priority="71" operator="equal">
      <formula>"Mandatory"</formula>
    </cfRule>
  </conditionalFormatting>
  <conditionalFormatting sqref="G69">
    <cfRule type="cellIs" dxfId="76" priority="69" operator="equal">
      <formula>"Not Mandatory"</formula>
    </cfRule>
    <cfRule type="cellIs" dxfId="75" priority="70" operator="equal">
      <formula>"Recommended"</formula>
    </cfRule>
  </conditionalFormatting>
  <conditionalFormatting sqref="G86">
    <cfRule type="cellIs" dxfId="74" priority="68" operator="equal">
      <formula>"Mandatory"</formula>
    </cfRule>
  </conditionalFormatting>
  <conditionalFormatting sqref="G86">
    <cfRule type="cellIs" dxfId="73" priority="66" operator="equal">
      <formula>"Not Mandatory"</formula>
    </cfRule>
    <cfRule type="cellIs" dxfId="72" priority="67" operator="equal">
      <formula>"Recommended"</formula>
    </cfRule>
  </conditionalFormatting>
  <conditionalFormatting sqref="G86">
    <cfRule type="cellIs" dxfId="71" priority="64" operator="equal">
      <formula>"Not Mandatory"</formula>
    </cfRule>
    <cfRule type="cellIs" dxfId="70" priority="65" operator="equal">
      <formula>"Recommended"</formula>
    </cfRule>
  </conditionalFormatting>
  <conditionalFormatting sqref="G86">
    <cfRule type="cellIs" dxfId="69" priority="62" operator="equal">
      <formula>"Not Mandatory"</formula>
    </cfRule>
    <cfRule type="cellIs" dxfId="68" priority="63" operator="equal">
      <formula>"Recommended"</formula>
    </cfRule>
  </conditionalFormatting>
  <conditionalFormatting sqref="G9:G13">
    <cfRule type="cellIs" dxfId="67" priority="61" operator="equal">
      <formula>"Mandatory"</formula>
    </cfRule>
  </conditionalFormatting>
  <conditionalFormatting sqref="G9:G13">
    <cfRule type="cellIs" dxfId="66" priority="59" operator="equal">
      <formula>"Not Mandatory"</formula>
    </cfRule>
    <cfRule type="cellIs" dxfId="65" priority="60" operator="equal">
      <formula>"Recommended"</formula>
    </cfRule>
  </conditionalFormatting>
  <conditionalFormatting sqref="G31:G33">
    <cfRule type="cellIs" dxfId="64" priority="58" operator="equal">
      <formula>"Mandatory"</formula>
    </cfRule>
  </conditionalFormatting>
  <conditionalFormatting sqref="G31:G33">
    <cfRule type="cellIs" dxfId="63" priority="56" operator="equal">
      <formula>"Not Mandatory"</formula>
    </cfRule>
    <cfRule type="cellIs" dxfId="62" priority="57" operator="equal">
      <formula>"Recommended"</formula>
    </cfRule>
  </conditionalFormatting>
  <conditionalFormatting sqref="G31:G33">
    <cfRule type="cellIs" dxfId="61" priority="54" operator="equal">
      <formula>"Not Mandatory"</formula>
    </cfRule>
    <cfRule type="cellIs" dxfId="60" priority="55" operator="equal">
      <formula>"Recommended"</formula>
    </cfRule>
  </conditionalFormatting>
  <conditionalFormatting sqref="G31:G33">
    <cfRule type="cellIs" dxfId="59" priority="52" operator="equal">
      <formula>"Not Mandatory"</formula>
    </cfRule>
    <cfRule type="cellIs" dxfId="58" priority="53" operator="equal">
      <formula>"Recommended"</formula>
    </cfRule>
  </conditionalFormatting>
  <conditionalFormatting sqref="G41">
    <cfRule type="cellIs" dxfId="57" priority="51" operator="equal">
      <formula>"Mandatory"</formula>
    </cfRule>
  </conditionalFormatting>
  <conditionalFormatting sqref="G41">
    <cfRule type="cellIs" dxfId="56" priority="49" operator="equal">
      <formula>"Not Mandatory"</formula>
    </cfRule>
    <cfRule type="cellIs" dxfId="55" priority="50" operator="equal">
      <formula>"Recommended"</formula>
    </cfRule>
  </conditionalFormatting>
  <conditionalFormatting sqref="G41">
    <cfRule type="cellIs" dxfId="54" priority="47" operator="equal">
      <formula>"Not Mandatory"</formula>
    </cfRule>
    <cfRule type="cellIs" dxfId="53" priority="48" operator="equal">
      <formula>"Recommended"</formula>
    </cfRule>
  </conditionalFormatting>
  <conditionalFormatting sqref="G41">
    <cfRule type="cellIs" dxfId="52" priority="45" operator="equal">
      <formula>"Not Mandatory"</formula>
    </cfRule>
    <cfRule type="cellIs" dxfId="51" priority="46" operator="equal">
      <formula>"Recommended"</formula>
    </cfRule>
  </conditionalFormatting>
  <conditionalFormatting sqref="G90">
    <cfRule type="cellIs" dxfId="50" priority="44" operator="equal">
      <formula>"Mandatory"</formula>
    </cfRule>
  </conditionalFormatting>
  <conditionalFormatting sqref="G90">
    <cfRule type="cellIs" dxfId="49" priority="42" operator="equal">
      <formula>"Not Mandatory"</formula>
    </cfRule>
    <cfRule type="cellIs" dxfId="48" priority="43" operator="equal">
      <formula>"Recommended"</formula>
    </cfRule>
  </conditionalFormatting>
  <conditionalFormatting sqref="G122">
    <cfRule type="cellIs" dxfId="47" priority="41" operator="equal">
      <formula>"Mandatory"</formula>
    </cfRule>
  </conditionalFormatting>
  <conditionalFormatting sqref="G122">
    <cfRule type="cellIs" dxfId="46" priority="39" operator="equal">
      <formula>"Not Mandatory"</formula>
    </cfRule>
    <cfRule type="cellIs" dxfId="45" priority="40" operator="equal">
      <formula>"Recommended"</formula>
    </cfRule>
  </conditionalFormatting>
  <conditionalFormatting sqref="G119">
    <cfRule type="cellIs" dxfId="44" priority="38" operator="equal">
      <formula>"Mandatory"</formula>
    </cfRule>
  </conditionalFormatting>
  <conditionalFormatting sqref="G119">
    <cfRule type="cellIs" dxfId="43" priority="36" operator="equal">
      <formula>"Not Mandatory"</formula>
    </cfRule>
    <cfRule type="cellIs" dxfId="42" priority="37" operator="equal">
      <formula>"Recommended"</formula>
    </cfRule>
  </conditionalFormatting>
  <conditionalFormatting sqref="G109">
    <cfRule type="cellIs" dxfId="41" priority="35" operator="equal">
      <formula>"Mandatory"</formula>
    </cfRule>
  </conditionalFormatting>
  <conditionalFormatting sqref="G109">
    <cfRule type="cellIs" dxfId="40" priority="33" operator="equal">
      <formula>"Not Mandatory"</formula>
    </cfRule>
    <cfRule type="cellIs" dxfId="39" priority="34" operator="equal">
      <formula>"Recommended"</formula>
    </cfRule>
  </conditionalFormatting>
  <conditionalFormatting sqref="G130">
    <cfRule type="cellIs" dxfId="38" priority="32" operator="equal">
      <formula>"Mandatory"</formula>
    </cfRule>
  </conditionalFormatting>
  <conditionalFormatting sqref="G130">
    <cfRule type="cellIs" dxfId="37" priority="30" operator="equal">
      <formula>"Not Mandatory"</formula>
    </cfRule>
    <cfRule type="cellIs" dxfId="36" priority="31" operator="equal">
      <formula>"Recommended"</formula>
    </cfRule>
  </conditionalFormatting>
  <conditionalFormatting sqref="G125">
    <cfRule type="cellIs" dxfId="35" priority="29" operator="equal">
      <formula>"Mandatory"</formula>
    </cfRule>
  </conditionalFormatting>
  <conditionalFormatting sqref="G125">
    <cfRule type="cellIs" dxfId="34" priority="27" operator="equal">
      <formula>"Not Mandatory"</formula>
    </cfRule>
    <cfRule type="cellIs" dxfId="33" priority="28" operator="equal">
      <formula>"Recommended"</formula>
    </cfRule>
  </conditionalFormatting>
  <conditionalFormatting sqref="G127:G129">
    <cfRule type="cellIs" dxfId="32" priority="26" operator="equal">
      <formula>"Mandatory"</formula>
    </cfRule>
  </conditionalFormatting>
  <conditionalFormatting sqref="G127:G129">
    <cfRule type="cellIs" dxfId="31" priority="24" operator="equal">
      <formula>"Not Mandatory"</formula>
    </cfRule>
    <cfRule type="cellIs" dxfId="30" priority="25" operator="equal">
      <formula>"Recommended"</formula>
    </cfRule>
  </conditionalFormatting>
  <conditionalFormatting sqref="G135:G136">
    <cfRule type="cellIs" dxfId="29" priority="23" operator="equal">
      <formula>"Mandatory"</formula>
    </cfRule>
  </conditionalFormatting>
  <conditionalFormatting sqref="G135:G136">
    <cfRule type="cellIs" dxfId="28" priority="21" operator="equal">
      <formula>"Not Mandatory"</formula>
    </cfRule>
    <cfRule type="cellIs" dxfId="27" priority="22" operator="equal">
      <formula>"Recommended"</formula>
    </cfRule>
  </conditionalFormatting>
  <conditionalFormatting sqref="G154">
    <cfRule type="cellIs" dxfId="26" priority="20" operator="equal">
      <formula>"Mandatory"</formula>
    </cfRule>
  </conditionalFormatting>
  <conditionalFormatting sqref="G154">
    <cfRule type="cellIs" dxfId="25" priority="18" operator="equal">
      <formula>"Not Mandatory"</formula>
    </cfRule>
    <cfRule type="cellIs" dxfId="24" priority="19" operator="equal">
      <formula>"Recommended"</formula>
    </cfRule>
  </conditionalFormatting>
  <conditionalFormatting sqref="G162">
    <cfRule type="cellIs" dxfId="23" priority="17" operator="equal">
      <formula>"Mandatory"</formula>
    </cfRule>
  </conditionalFormatting>
  <conditionalFormatting sqref="G162">
    <cfRule type="cellIs" dxfId="22" priority="15" operator="equal">
      <formula>"Not Mandatory"</formula>
    </cfRule>
    <cfRule type="cellIs" dxfId="21" priority="16" operator="equal">
      <formula>"Recommended"</formula>
    </cfRule>
  </conditionalFormatting>
  <conditionalFormatting sqref="G66">
    <cfRule type="cellIs" dxfId="20" priority="14" operator="equal">
      <formula>"Mandatory"</formula>
    </cfRule>
  </conditionalFormatting>
  <conditionalFormatting sqref="G66">
    <cfRule type="cellIs" dxfId="19" priority="12" operator="equal">
      <formula>"Not Mandatory"</formula>
    </cfRule>
    <cfRule type="cellIs" dxfId="18" priority="13" operator="equal">
      <formula>"Recommended"</formula>
    </cfRule>
  </conditionalFormatting>
  <conditionalFormatting sqref="G66">
    <cfRule type="cellIs" dxfId="17" priority="10" operator="equal">
      <formula>"Not Mandatory"</formula>
    </cfRule>
    <cfRule type="cellIs" dxfId="16" priority="11" operator="equal">
      <formula>"Recommended"</formula>
    </cfRule>
  </conditionalFormatting>
  <conditionalFormatting sqref="G66">
    <cfRule type="cellIs" dxfId="15" priority="8" operator="equal">
      <formula>"Not Mandatory"</formula>
    </cfRule>
    <cfRule type="cellIs" dxfId="14" priority="9" operator="equal">
      <formula>"Recommended"</formula>
    </cfRule>
  </conditionalFormatting>
  <conditionalFormatting sqref="G39">
    <cfRule type="cellIs" dxfId="13" priority="7" operator="equal">
      <formula>"Mandatory"</formula>
    </cfRule>
  </conditionalFormatting>
  <conditionalFormatting sqref="G39">
    <cfRule type="cellIs" dxfId="12" priority="5" operator="equal">
      <formula>"Not Mandatory"</formula>
    </cfRule>
    <cfRule type="cellIs" dxfId="11" priority="6" operator="equal">
      <formula>"Recommended"</formula>
    </cfRule>
  </conditionalFormatting>
  <conditionalFormatting sqref="G39">
    <cfRule type="cellIs" dxfId="10" priority="3" operator="equal">
      <formula>"Not Mandatory"</formula>
    </cfRule>
    <cfRule type="cellIs" dxfId="9" priority="4" operator="equal">
      <formula>"Recommended"</formula>
    </cfRule>
  </conditionalFormatting>
  <conditionalFormatting sqref="G39">
    <cfRule type="cellIs" dxfId="8" priority="1" operator="equal">
      <formula>"Not Mandatory"</formula>
    </cfRule>
    <cfRule type="cellIs" dxfId="7" priority="2" operator="equal">
      <formula>"Recommended"</formula>
    </cfRule>
  </conditionalFormatting>
  <dataValidations count="1">
    <dataValidation type="list" allowBlank="1" showInputMessage="1" showErrorMessage="1" sqref="F4:F213" xr:uid="{7B8DBB95-1F56-47B6-8368-DFE6D85F51C1}">
      <formula1>$F$1:$F$2</formula1>
    </dataValidation>
  </dataValidations>
  <pageMargins left="0.7" right="0.7" top="0.75" bottom="0.75" header="0.3" footer="0.3"/>
  <pageSetup paperSize="66" scale="3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FC81-23CD-457B-8661-190DA4D4878A}">
  <sheetPr codeName="Sheet14">
    <pageSetUpPr fitToPage="1"/>
  </sheetPr>
  <dimension ref="A1:G51"/>
  <sheetViews>
    <sheetView topLeftCell="A4" zoomScale="55" zoomScaleNormal="55" zoomScaleSheetLayoutView="50" workbookViewId="0">
      <selection sqref="A1:XFD1048576"/>
    </sheetView>
  </sheetViews>
  <sheetFormatPr defaultColWidth="10.58203125" defaultRowHeight="15.5" x14ac:dyDescent="0.35"/>
  <cols>
    <col min="1" max="1" width="52.58203125" style="1" customWidth="1"/>
    <col min="2" max="2" width="12" style="1" bestFit="1" customWidth="1"/>
    <col min="3" max="3" width="7.25" style="151" customWidth="1"/>
    <col min="4" max="4" width="12" style="151" bestFit="1" customWidth="1"/>
    <col min="5" max="5" width="7.25" style="151" customWidth="1"/>
    <col min="6" max="6" width="13.5" style="1" customWidth="1"/>
    <col min="7" max="7" width="12.5" style="1" customWidth="1"/>
    <col min="8" max="16384" width="10.58203125" style="1"/>
  </cols>
  <sheetData>
    <row r="1" spans="1:7" x14ac:dyDescent="0.35">
      <c r="A1" s="41" t="s">
        <v>668</v>
      </c>
    </row>
    <row r="2" spans="1:7" x14ac:dyDescent="0.35">
      <c r="A2" s="16" t="s">
        <v>640</v>
      </c>
    </row>
    <row r="3" spans="1:7" x14ac:dyDescent="0.35">
      <c r="A3" s="49" t="s">
        <v>646</v>
      </c>
      <c r="G3" s="146"/>
    </row>
    <row r="4" spans="1:7" x14ac:dyDescent="0.35">
      <c r="A4" s="16" t="s">
        <v>635</v>
      </c>
      <c r="B4" s="16" t="s">
        <v>639</v>
      </c>
      <c r="C4" s="152" t="s">
        <v>638</v>
      </c>
      <c r="D4" s="152" t="s">
        <v>639</v>
      </c>
      <c r="E4" s="152" t="s">
        <v>638</v>
      </c>
      <c r="F4" s="16" t="s">
        <v>645</v>
      </c>
      <c r="G4" s="153" t="s">
        <v>634</v>
      </c>
    </row>
    <row r="5" spans="1:7" x14ac:dyDescent="0.35">
      <c r="B5" s="16" t="s">
        <v>632</v>
      </c>
      <c r="C5" s="16" t="s">
        <v>632</v>
      </c>
      <c r="D5" s="16" t="s">
        <v>85</v>
      </c>
      <c r="E5" s="16" t="s">
        <v>85</v>
      </c>
      <c r="F5" s="16" t="s">
        <v>5</v>
      </c>
      <c r="G5" s="153" t="s">
        <v>633</v>
      </c>
    </row>
    <row r="6" spans="1:7" x14ac:dyDescent="0.35">
      <c r="A6" s="49" t="s">
        <v>642</v>
      </c>
      <c r="B6" s="1">
        <v>1900</v>
      </c>
      <c r="C6" s="151">
        <v>25</v>
      </c>
      <c r="D6" s="151">
        <v>1038</v>
      </c>
      <c r="E6" s="151">
        <v>14</v>
      </c>
      <c r="G6" s="146"/>
    </row>
    <row r="7" spans="1:7" x14ac:dyDescent="0.35">
      <c r="A7" s="49" t="s">
        <v>630</v>
      </c>
      <c r="G7" s="50"/>
    </row>
    <row r="8" spans="1:7" x14ac:dyDescent="0.35">
      <c r="A8" s="49" t="s">
        <v>636</v>
      </c>
      <c r="B8" s="1">
        <v>2240</v>
      </c>
      <c r="C8" s="151">
        <v>10</v>
      </c>
      <c r="D8" s="151">
        <v>1227</v>
      </c>
      <c r="E8" s="151">
        <v>6</v>
      </c>
      <c r="G8" s="1">
        <v>60</v>
      </c>
    </row>
    <row r="9" spans="1:7" x14ac:dyDescent="0.35">
      <c r="A9" s="49" t="s">
        <v>637</v>
      </c>
      <c r="B9" s="1">
        <v>2240</v>
      </c>
      <c r="D9" s="151">
        <v>1227</v>
      </c>
      <c r="F9" s="1">
        <v>2</v>
      </c>
    </row>
    <row r="10" spans="1:7" x14ac:dyDescent="0.35">
      <c r="A10" s="49" t="s">
        <v>636</v>
      </c>
      <c r="B10" s="1">
        <v>2260</v>
      </c>
      <c r="C10" s="151">
        <v>10</v>
      </c>
      <c r="D10" s="151">
        <v>1238</v>
      </c>
      <c r="E10" s="151">
        <v>6</v>
      </c>
      <c r="G10" s="1">
        <v>20</v>
      </c>
    </row>
    <row r="11" spans="1:7" x14ac:dyDescent="0.35">
      <c r="A11" s="49" t="s">
        <v>637</v>
      </c>
      <c r="B11" s="1">
        <v>2260</v>
      </c>
      <c r="D11" s="151">
        <v>1238</v>
      </c>
      <c r="F11" s="1">
        <v>2</v>
      </c>
    </row>
    <row r="12" spans="1:7" x14ac:dyDescent="0.35">
      <c r="A12" s="49" t="s">
        <v>636</v>
      </c>
      <c r="B12" s="1">
        <v>2320</v>
      </c>
      <c r="C12" s="151">
        <v>10</v>
      </c>
      <c r="D12" s="151">
        <v>1271</v>
      </c>
      <c r="E12" s="151">
        <v>6</v>
      </c>
      <c r="G12" s="1">
        <v>60</v>
      </c>
    </row>
    <row r="13" spans="1:7" x14ac:dyDescent="0.35">
      <c r="A13" s="49" t="s">
        <v>637</v>
      </c>
      <c r="B13" s="1">
        <v>2320</v>
      </c>
      <c r="D13" s="151">
        <v>1271</v>
      </c>
      <c r="F13" s="1">
        <v>2</v>
      </c>
    </row>
    <row r="14" spans="1:7" x14ac:dyDescent="0.35">
      <c r="A14" s="49" t="s">
        <v>636</v>
      </c>
      <c r="B14" s="1">
        <v>2330</v>
      </c>
      <c r="C14" s="151">
        <v>5</v>
      </c>
      <c r="D14" s="151">
        <v>1277</v>
      </c>
      <c r="E14" s="151">
        <v>3</v>
      </c>
      <c r="G14" s="1">
        <v>10</v>
      </c>
    </row>
    <row r="15" spans="1:7" x14ac:dyDescent="0.35">
      <c r="A15" s="49" t="s">
        <v>637</v>
      </c>
      <c r="B15" s="1">
        <v>2330</v>
      </c>
      <c r="D15" s="151">
        <v>1277</v>
      </c>
      <c r="F15" s="1">
        <v>3</v>
      </c>
    </row>
    <row r="16" spans="1:7" x14ac:dyDescent="0.35">
      <c r="A16" s="49" t="s">
        <v>636</v>
      </c>
      <c r="B16" s="1">
        <v>2335</v>
      </c>
      <c r="C16" s="151">
        <v>5</v>
      </c>
      <c r="D16" s="151">
        <v>1279</v>
      </c>
      <c r="E16" s="151">
        <v>3</v>
      </c>
      <c r="G16" s="1">
        <v>10</v>
      </c>
    </row>
    <row r="17" spans="1:7" x14ac:dyDescent="0.35">
      <c r="A17" s="49" t="s">
        <v>637</v>
      </c>
      <c r="B17" s="1">
        <v>2335</v>
      </c>
      <c r="D17" s="151">
        <v>1279</v>
      </c>
      <c r="F17" s="1">
        <v>2</v>
      </c>
    </row>
    <row r="18" spans="1:7" x14ac:dyDescent="0.35">
      <c r="A18" s="49" t="s">
        <v>631</v>
      </c>
    </row>
    <row r="20" spans="1:7" x14ac:dyDescent="0.35">
      <c r="A20" s="155" t="s">
        <v>641</v>
      </c>
    </row>
    <row r="21" spans="1:7" x14ac:dyDescent="0.35">
      <c r="A21" s="49" t="s">
        <v>647</v>
      </c>
    </row>
    <row r="22" spans="1:7" x14ac:dyDescent="0.35">
      <c r="A22" s="16" t="s">
        <v>635</v>
      </c>
      <c r="B22" s="16" t="s">
        <v>639</v>
      </c>
      <c r="C22" s="152" t="s">
        <v>638</v>
      </c>
      <c r="D22" s="152" t="s">
        <v>639</v>
      </c>
      <c r="E22" s="152" t="s">
        <v>638</v>
      </c>
      <c r="F22" s="16" t="s">
        <v>645</v>
      </c>
      <c r="G22" s="153" t="s">
        <v>634</v>
      </c>
    </row>
    <row r="23" spans="1:7" x14ac:dyDescent="0.35">
      <c r="B23" s="16" t="s">
        <v>632</v>
      </c>
      <c r="C23" s="16" t="s">
        <v>632</v>
      </c>
      <c r="D23" s="16" t="s">
        <v>85</v>
      </c>
      <c r="E23" s="16" t="s">
        <v>85</v>
      </c>
      <c r="F23" s="16" t="s">
        <v>5</v>
      </c>
      <c r="G23" s="153" t="s">
        <v>633</v>
      </c>
    </row>
    <row r="24" spans="1:7" x14ac:dyDescent="0.35">
      <c r="A24" s="49" t="s">
        <v>648</v>
      </c>
      <c r="B24" s="1">
        <f>(D24*9/5)+32</f>
        <v>1976</v>
      </c>
      <c r="D24" s="151">
        <v>1080</v>
      </c>
      <c r="E24" s="154"/>
      <c r="F24" s="55">
        <v>4</v>
      </c>
      <c r="G24" s="150"/>
    </row>
    <row r="25" spans="1:7" x14ac:dyDescent="0.35">
      <c r="A25" s="47" t="s">
        <v>643</v>
      </c>
      <c r="B25" s="1">
        <f t="shared" ref="B25" si="0">(D25*9/5)+32</f>
        <v>1598</v>
      </c>
      <c r="D25" s="151">
        <v>870</v>
      </c>
      <c r="E25" s="154"/>
      <c r="F25" s="55">
        <v>16</v>
      </c>
    </row>
    <row r="26" spans="1:7" x14ac:dyDescent="0.35">
      <c r="A26" s="47" t="s">
        <v>644</v>
      </c>
      <c r="E26" s="154"/>
      <c r="F26" s="150"/>
    </row>
    <row r="27" spans="1:7" x14ac:dyDescent="0.35">
      <c r="E27" s="154"/>
      <c r="F27" s="150"/>
    </row>
    <row r="28" spans="1:7" x14ac:dyDescent="0.35">
      <c r="E28" s="154"/>
      <c r="F28" s="150"/>
    </row>
    <row r="29" spans="1:7" x14ac:dyDescent="0.35">
      <c r="E29" s="154"/>
      <c r="F29" s="150"/>
    </row>
    <row r="30" spans="1:7" x14ac:dyDescent="0.35">
      <c r="E30" s="154"/>
      <c r="F30" s="150"/>
    </row>
    <row r="31" spans="1:7" x14ac:dyDescent="0.35">
      <c r="E31" s="154"/>
      <c r="F31" s="150"/>
    </row>
    <row r="32" spans="1:7" x14ac:dyDescent="0.35">
      <c r="E32" s="154"/>
      <c r="F32" s="150"/>
    </row>
    <row r="33" spans="5:6" x14ac:dyDescent="0.35">
      <c r="E33" s="154"/>
      <c r="F33" s="150"/>
    </row>
    <row r="34" spans="5:6" x14ac:dyDescent="0.35">
      <c r="E34" s="154"/>
      <c r="F34" s="150"/>
    </row>
    <row r="35" spans="5:6" x14ac:dyDescent="0.35">
      <c r="E35" s="154"/>
      <c r="F35" s="150"/>
    </row>
    <row r="36" spans="5:6" x14ac:dyDescent="0.35">
      <c r="E36" s="154"/>
      <c r="F36" s="150"/>
    </row>
    <row r="37" spans="5:6" x14ac:dyDescent="0.35">
      <c r="E37" s="154"/>
      <c r="F37" s="150"/>
    </row>
    <row r="38" spans="5:6" x14ac:dyDescent="0.35">
      <c r="E38" s="154"/>
      <c r="F38" s="150"/>
    </row>
    <row r="39" spans="5:6" x14ac:dyDescent="0.35">
      <c r="E39" s="154"/>
      <c r="F39" s="150"/>
    </row>
    <row r="40" spans="5:6" x14ac:dyDescent="0.35">
      <c r="E40" s="154"/>
      <c r="F40" s="150"/>
    </row>
    <row r="41" spans="5:6" x14ac:dyDescent="0.35">
      <c r="E41" s="154"/>
      <c r="F41" s="150"/>
    </row>
    <row r="42" spans="5:6" x14ac:dyDescent="0.35">
      <c r="E42" s="154"/>
      <c r="F42" s="150"/>
    </row>
    <row r="43" spans="5:6" x14ac:dyDescent="0.35">
      <c r="E43" s="154"/>
      <c r="F43" s="150"/>
    </row>
    <row r="44" spans="5:6" x14ac:dyDescent="0.35">
      <c r="E44" s="154"/>
      <c r="F44" s="150"/>
    </row>
    <row r="45" spans="5:6" x14ac:dyDescent="0.35">
      <c r="E45" s="154"/>
      <c r="F45" s="150"/>
    </row>
    <row r="46" spans="5:6" x14ac:dyDescent="0.35">
      <c r="E46" s="154"/>
      <c r="F46" s="150"/>
    </row>
    <row r="47" spans="5:6" x14ac:dyDescent="0.35">
      <c r="E47" s="154"/>
      <c r="F47" s="150"/>
    </row>
    <row r="48" spans="5:6" x14ac:dyDescent="0.35">
      <c r="E48" s="154"/>
      <c r="F48" s="150"/>
    </row>
    <row r="49" spans="5:6" x14ac:dyDescent="0.35">
      <c r="E49" s="154"/>
      <c r="F49" s="150"/>
    </row>
    <row r="50" spans="5:6" x14ac:dyDescent="0.35">
      <c r="E50" s="154"/>
      <c r="F50" s="150"/>
    </row>
    <row r="51" spans="5:6" x14ac:dyDescent="0.35">
      <c r="E51" s="154"/>
      <c r="F51" s="150"/>
    </row>
  </sheetData>
  <conditionalFormatting sqref="A21">
    <cfRule type="cellIs" dxfId="6" priority="7" operator="equal">
      <formula>"Mandatory"</formula>
    </cfRule>
  </conditionalFormatting>
  <conditionalFormatting sqref="A21">
    <cfRule type="cellIs" dxfId="5" priority="5" operator="equal">
      <formula>"Not Mandatory"</formula>
    </cfRule>
    <cfRule type="cellIs" dxfId="4" priority="6" operator="equal">
      <formula>"Recommended"</formula>
    </cfRule>
  </conditionalFormatting>
  <conditionalFormatting sqref="A21">
    <cfRule type="cellIs" dxfId="3" priority="3" operator="equal">
      <formula>"Not Mandatory"</formula>
    </cfRule>
    <cfRule type="cellIs" dxfId="2" priority="4" operator="equal">
      <formula>"Recommended"</formula>
    </cfRule>
  </conditionalFormatting>
  <conditionalFormatting sqref="A21">
    <cfRule type="cellIs" dxfId="1" priority="1" operator="equal">
      <formula>"Not Mandatory"</formula>
    </cfRule>
    <cfRule type="cellIs" dxfId="0" priority="2" operator="equal">
      <formula>"Recommended"</formula>
    </cfRule>
  </conditionalFormatting>
  <pageMargins left="0.7" right="0.7" top="0.75" bottom="0.75" header="0.3" footer="0.3"/>
  <pageSetup paperSize="66" scale="3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656A-F946-4A1A-A518-D75F5EBDABDB}">
  <sheetPr codeName="Sheet15"/>
  <dimension ref="A1:C16"/>
  <sheetViews>
    <sheetView zoomScale="55" zoomScaleNormal="55" workbookViewId="0">
      <selection sqref="A1:XFD1048576"/>
    </sheetView>
  </sheetViews>
  <sheetFormatPr defaultColWidth="9" defaultRowHeight="15.5" x14ac:dyDescent="0.35"/>
  <cols>
    <col min="1" max="10" width="11.75" bestFit="1" customWidth="1"/>
  </cols>
  <sheetData>
    <row r="1" spans="1:3" s="1" customFormat="1" x14ac:dyDescent="0.35">
      <c r="A1" s="41" t="s">
        <v>669</v>
      </c>
    </row>
    <row r="2" spans="1:3" x14ac:dyDescent="0.35">
      <c r="A2" s="147" t="s">
        <v>616</v>
      </c>
      <c r="B2" s="147" t="s">
        <v>536</v>
      </c>
      <c r="C2" s="147"/>
    </row>
    <row r="3" spans="1:3" s="1" customFormat="1" x14ac:dyDescent="0.35">
      <c r="A3" s="147"/>
      <c r="B3" s="147" t="s">
        <v>480</v>
      </c>
      <c r="C3" s="147"/>
    </row>
    <row r="4" spans="1:3" x14ac:dyDescent="0.35">
      <c r="A4" s="57">
        <v>85</v>
      </c>
      <c r="B4" s="148">
        <v>3.9</v>
      </c>
      <c r="C4" s="148"/>
    </row>
    <row r="5" spans="1:3" x14ac:dyDescent="0.35">
      <c r="A5" s="57">
        <v>94</v>
      </c>
      <c r="B5" s="148">
        <v>2.7</v>
      </c>
      <c r="C5" s="148"/>
    </row>
    <row r="6" spans="1:3" x14ac:dyDescent="0.35">
      <c r="A6" s="57">
        <v>95</v>
      </c>
      <c r="B6" s="148">
        <v>7.5</v>
      </c>
      <c r="C6" s="148"/>
    </row>
    <row r="7" spans="1:3" x14ac:dyDescent="0.35">
      <c r="A7" s="57">
        <v>81</v>
      </c>
      <c r="B7" s="148">
        <v>1.9</v>
      </c>
      <c r="C7" s="148"/>
    </row>
    <row r="8" spans="1:3" x14ac:dyDescent="0.35">
      <c r="A8" s="57">
        <v>91</v>
      </c>
      <c r="B8" s="148">
        <v>2.5</v>
      </c>
      <c r="C8" s="148"/>
    </row>
    <row r="9" spans="1:3" x14ac:dyDescent="0.35">
      <c r="A9" s="57">
        <v>98</v>
      </c>
      <c r="B9" s="148">
        <v>7</v>
      </c>
      <c r="C9" s="148"/>
    </row>
    <row r="10" spans="1:3" x14ac:dyDescent="0.35">
      <c r="A10" s="57">
        <v>82</v>
      </c>
      <c r="B10" s="148">
        <v>3</v>
      </c>
      <c r="C10" s="148"/>
    </row>
    <row r="11" spans="1:3" x14ac:dyDescent="0.35">
      <c r="A11" s="57">
        <v>97</v>
      </c>
      <c r="B11" s="148">
        <v>6.2</v>
      </c>
      <c r="C11" s="148"/>
    </row>
    <row r="12" spans="1:3" x14ac:dyDescent="0.35">
      <c r="A12" s="57">
        <v>99</v>
      </c>
      <c r="B12" s="148">
        <v>3.3</v>
      </c>
      <c r="C12" s="148"/>
    </row>
    <row r="13" spans="1:3" x14ac:dyDescent="0.35">
      <c r="A13" s="57">
        <v>78</v>
      </c>
      <c r="B13" s="148">
        <v>6.9</v>
      </c>
      <c r="C13" s="148"/>
    </row>
    <row r="14" spans="1:3" x14ac:dyDescent="0.35">
      <c r="A14" s="57">
        <v>80</v>
      </c>
      <c r="B14" s="148">
        <v>3.2</v>
      </c>
      <c r="C14" s="148"/>
    </row>
    <row r="15" spans="1:3" x14ac:dyDescent="0.35">
      <c r="A15" s="57">
        <v>89</v>
      </c>
      <c r="B15" s="148">
        <v>7.1</v>
      </c>
      <c r="C15" s="148"/>
    </row>
    <row r="16" spans="1:3" x14ac:dyDescent="0.35">
      <c r="A16" s="57"/>
      <c r="B16" s="57"/>
      <c r="C16" s="5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4284-6C9E-47DF-8EC4-901E39D9B461}">
  <sheetPr codeName="Sheet16"/>
  <dimension ref="A1:B16"/>
  <sheetViews>
    <sheetView zoomScale="55" zoomScaleNormal="55" workbookViewId="0">
      <selection sqref="A1:XFD1048576"/>
    </sheetView>
  </sheetViews>
  <sheetFormatPr defaultColWidth="8.58203125" defaultRowHeight="15.5" x14ac:dyDescent="0.35"/>
  <cols>
    <col min="1" max="9" width="11.75" style="1" bestFit="1" customWidth="1"/>
    <col min="10" max="16384" width="8.58203125" style="1"/>
  </cols>
  <sheetData>
    <row r="1" spans="1:2" x14ac:dyDescent="0.35">
      <c r="A1" s="41" t="s">
        <v>670</v>
      </c>
    </row>
    <row r="2" spans="1:2" x14ac:dyDescent="0.35">
      <c r="A2" s="147" t="s">
        <v>616</v>
      </c>
      <c r="B2" s="147" t="s">
        <v>629</v>
      </c>
    </row>
    <row r="3" spans="1:2" x14ac:dyDescent="0.35">
      <c r="A3" s="147"/>
      <c r="B3" s="147" t="s">
        <v>51</v>
      </c>
    </row>
    <row r="4" spans="1:2" x14ac:dyDescent="0.35">
      <c r="A4" s="57">
        <v>85</v>
      </c>
      <c r="B4" s="148">
        <v>2.1</v>
      </c>
    </row>
    <row r="5" spans="1:2" x14ac:dyDescent="0.35">
      <c r="A5" s="57">
        <v>94</v>
      </c>
      <c r="B5" s="148">
        <v>2</v>
      </c>
    </row>
    <row r="6" spans="1:2" x14ac:dyDescent="0.35">
      <c r="A6" s="57">
        <v>95</v>
      </c>
      <c r="B6" s="148">
        <v>2</v>
      </c>
    </row>
    <row r="7" spans="1:2" x14ac:dyDescent="0.35">
      <c r="A7" s="57">
        <v>81</v>
      </c>
      <c r="B7" s="148">
        <v>1.6</v>
      </c>
    </row>
    <row r="8" spans="1:2" x14ac:dyDescent="0.35">
      <c r="A8" s="57">
        <v>91</v>
      </c>
      <c r="B8" s="148">
        <v>1.5</v>
      </c>
    </row>
    <row r="9" spans="1:2" x14ac:dyDescent="0.35">
      <c r="A9" s="57">
        <v>98</v>
      </c>
      <c r="B9" s="148">
        <v>2</v>
      </c>
    </row>
    <row r="10" spans="1:2" x14ac:dyDescent="0.35">
      <c r="A10" s="57">
        <v>82</v>
      </c>
      <c r="B10" s="148">
        <v>1.8</v>
      </c>
    </row>
    <row r="11" spans="1:2" x14ac:dyDescent="0.35">
      <c r="A11" s="57">
        <v>97</v>
      </c>
      <c r="B11" s="148">
        <v>1.9</v>
      </c>
    </row>
    <row r="12" spans="1:2" x14ac:dyDescent="0.35">
      <c r="A12" s="57">
        <v>99</v>
      </c>
      <c r="B12" s="148">
        <v>1.7</v>
      </c>
    </row>
    <row r="13" spans="1:2" x14ac:dyDescent="0.35">
      <c r="A13" s="57">
        <v>78</v>
      </c>
      <c r="B13" s="148">
        <v>1.6</v>
      </c>
    </row>
    <row r="14" spans="1:2" x14ac:dyDescent="0.35">
      <c r="A14" s="57">
        <v>80</v>
      </c>
      <c r="B14" s="148">
        <v>1.6</v>
      </c>
    </row>
    <row r="15" spans="1:2" x14ac:dyDescent="0.35">
      <c r="A15" s="57">
        <v>89</v>
      </c>
      <c r="B15" s="148">
        <v>1.9</v>
      </c>
    </row>
    <row r="16" spans="1:2" x14ac:dyDescent="0.35">
      <c r="A16" s="57"/>
      <c r="B16" s="5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3EB2-D700-4BCD-9665-00188831F215}">
  <sheetPr codeName="Sheet17"/>
  <dimension ref="A1:G49"/>
  <sheetViews>
    <sheetView zoomScale="55" zoomScaleNormal="55" workbookViewId="0">
      <selection sqref="A1:XFD1048576"/>
    </sheetView>
  </sheetViews>
  <sheetFormatPr defaultColWidth="8.83203125" defaultRowHeight="15.5" x14ac:dyDescent="0.35"/>
  <sheetData>
    <row r="1" spans="1:7" s="1" customFormat="1" x14ac:dyDescent="0.35">
      <c r="A1" s="41" t="s">
        <v>660</v>
      </c>
    </row>
    <row r="2" spans="1:7" x14ac:dyDescent="0.35">
      <c r="A2" s="16" t="s">
        <v>466</v>
      </c>
      <c r="B2" s="16" t="s">
        <v>464</v>
      </c>
      <c r="C2" s="16" t="s">
        <v>248</v>
      </c>
      <c r="D2" s="16" t="s">
        <v>249</v>
      </c>
      <c r="G2" s="16"/>
    </row>
    <row r="3" spans="1:7" x14ac:dyDescent="0.35">
      <c r="A3" s="42" t="s">
        <v>202</v>
      </c>
      <c r="B3" s="41" t="s">
        <v>465</v>
      </c>
      <c r="C3" s="1">
        <v>60</v>
      </c>
      <c r="D3" s="1"/>
    </row>
    <row r="4" spans="1:7" x14ac:dyDescent="0.35">
      <c r="A4" s="42" t="s">
        <v>203</v>
      </c>
      <c r="B4" s="41" t="s">
        <v>463</v>
      </c>
      <c r="C4" s="1">
        <v>0.05</v>
      </c>
      <c r="D4" s="1"/>
    </row>
    <row r="5" spans="1:7" x14ac:dyDescent="0.35">
      <c r="A5" s="42" t="s">
        <v>204</v>
      </c>
      <c r="B5" s="41" t="s">
        <v>463</v>
      </c>
      <c r="C5" s="1">
        <v>0.05</v>
      </c>
      <c r="D5" s="1"/>
    </row>
    <row r="6" spans="1:7" x14ac:dyDescent="0.35">
      <c r="A6" s="42" t="s">
        <v>205</v>
      </c>
      <c r="B6" s="41" t="s">
        <v>465</v>
      </c>
      <c r="C6" s="1">
        <v>2</v>
      </c>
      <c r="D6" s="1"/>
    </row>
    <row r="7" spans="1:7" x14ac:dyDescent="0.35">
      <c r="A7" s="42" t="s">
        <v>206</v>
      </c>
      <c r="B7" s="41" t="s">
        <v>465</v>
      </c>
      <c r="C7" s="1">
        <v>2</v>
      </c>
      <c r="D7" s="1"/>
    </row>
    <row r="8" spans="1:7" x14ac:dyDescent="0.35">
      <c r="A8" s="42" t="s">
        <v>207</v>
      </c>
      <c r="B8" s="41" t="s">
        <v>463</v>
      </c>
      <c r="C8" s="1">
        <v>4.9000000000000004</v>
      </c>
      <c r="D8" s="1">
        <v>4.7</v>
      </c>
    </row>
    <row r="9" spans="1:7" x14ac:dyDescent="0.35">
      <c r="A9" s="42" t="s">
        <v>208</v>
      </c>
      <c r="B9" s="41" t="s">
        <v>465</v>
      </c>
      <c r="C9" s="1">
        <v>30</v>
      </c>
      <c r="D9" s="1"/>
    </row>
    <row r="10" spans="1:7" x14ac:dyDescent="0.35">
      <c r="A10" s="42" t="s">
        <v>209</v>
      </c>
      <c r="B10" s="41" t="s">
        <v>465</v>
      </c>
      <c r="C10" s="1">
        <v>0.3</v>
      </c>
      <c r="D10" s="1"/>
    </row>
    <row r="11" spans="1:7" x14ac:dyDescent="0.35">
      <c r="A11" s="42" t="s">
        <v>210</v>
      </c>
      <c r="B11" s="41" t="s">
        <v>463</v>
      </c>
      <c r="C11" s="1">
        <v>0.1</v>
      </c>
      <c r="D11" s="1"/>
    </row>
    <row r="12" spans="1:7" x14ac:dyDescent="0.35">
      <c r="A12" s="42" t="s">
        <v>211</v>
      </c>
      <c r="B12" s="41" t="s">
        <v>463</v>
      </c>
      <c r="C12" s="1">
        <v>5.2</v>
      </c>
      <c r="D12" s="1">
        <v>4.8</v>
      </c>
    </row>
    <row r="13" spans="1:7" x14ac:dyDescent="0.35">
      <c r="A13" s="42" t="s">
        <v>212</v>
      </c>
      <c r="B13" s="41" t="s">
        <v>463</v>
      </c>
      <c r="C13" s="1">
        <v>10</v>
      </c>
      <c r="D13" s="1">
        <v>9.6</v>
      </c>
    </row>
    <row r="14" spans="1:7" x14ac:dyDescent="0.35">
      <c r="A14" s="42" t="s">
        <v>213</v>
      </c>
      <c r="B14" s="41" t="s">
        <v>463</v>
      </c>
      <c r="C14" s="1">
        <v>0.01</v>
      </c>
      <c r="D14" s="1"/>
    </row>
    <row r="15" spans="1:7" x14ac:dyDescent="0.35">
      <c r="A15" s="42" t="s">
        <v>214</v>
      </c>
      <c r="B15" s="41" t="s">
        <v>463</v>
      </c>
      <c r="C15" s="1">
        <v>0.2</v>
      </c>
      <c r="D15" s="1"/>
    </row>
    <row r="16" spans="1:7" x14ac:dyDescent="0.35">
      <c r="A16" s="42" t="s">
        <v>215</v>
      </c>
      <c r="B16" s="41" t="s">
        <v>465</v>
      </c>
      <c r="C16" s="1">
        <v>25</v>
      </c>
      <c r="D16" s="1"/>
    </row>
    <row r="17" spans="1:4" x14ac:dyDescent="0.35">
      <c r="A17" s="42" t="s">
        <v>216</v>
      </c>
      <c r="B17" s="41" t="s">
        <v>463</v>
      </c>
      <c r="C17" s="1">
        <v>0.09</v>
      </c>
      <c r="D17" s="1">
        <v>0.03</v>
      </c>
    </row>
    <row r="18" spans="1:4" x14ac:dyDescent="0.35">
      <c r="A18" s="42" t="s">
        <v>217</v>
      </c>
      <c r="B18" s="41" t="s">
        <v>465</v>
      </c>
      <c r="C18" s="1">
        <v>100</v>
      </c>
      <c r="D18" s="1"/>
    </row>
    <row r="19" spans="1:4" x14ac:dyDescent="0.35">
      <c r="A19" s="42" t="s">
        <v>218</v>
      </c>
      <c r="B19" s="41" t="s">
        <v>463</v>
      </c>
      <c r="C19" s="1">
        <v>3.2</v>
      </c>
      <c r="D19" s="1">
        <v>2.8</v>
      </c>
    </row>
    <row r="20" spans="1:4" x14ac:dyDescent="0.35">
      <c r="A20" s="42" t="s">
        <v>219</v>
      </c>
      <c r="B20" s="41" t="s">
        <v>465</v>
      </c>
      <c r="C20" s="1">
        <v>12</v>
      </c>
      <c r="D20" s="1"/>
    </row>
    <row r="21" spans="1:4" x14ac:dyDescent="0.35">
      <c r="A21" s="42" t="s">
        <v>220</v>
      </c>
      <c r="B21" s="41" t="s">
        <v>463</v>
      </c>
      <c r="C21" s="1" t="s">
        <v>259</v>
      </c>
      <c r="D21" s="1"/>
    </row>
    <row r="22" spans="1:4" x14ac:dyDescent="0.35">
      <c r="A22" s="42" t="s">
        <v>221</v>
      </c>
      <c r="B22" s="41" t="s">
        <v>465</v>
      </c>
      <c r="C22" s="1">
        <v>10</v>
      </c>
      <c r="D22" s="1"/>
    </row>
    <row r="23" spans="1:4" x14ac:dyDescent="0.35">
      <c r="A23" s="42" t="s">
        <v>222</v>
      </c>
      <c r="B23" s="41" t="s">
        <v>465</v>
      </c>
      <c r="C23" s="1">
        <v>2</v>
      </c>
      <c r="D23" s="1"/>
    </row>
    <row r="24" spans="1:4" x14ac:dyDescent="0.35">
      <c r="A24" s="42" t="s">
        <v>223</v>
      </c>
      <c r="B24" s="41" t="s">
        <v>465</v>
      </c>
      <c r="C24" s="1">
        <v>2</v>
      </c>
      <c r="D24" s="1"/>
    </row>
    <row r="25" spans="1:4" x14ac:dyDescent="0.35">
      <c r="A25" s="42" t="s">
        <v>224</v>
      </c>
      <c r="B25" s="41" t="s">
        <v>465</v>
      </c>
      <c r="C25" s="1">
        <v>0.5</v>
      </c>
      <c r="D25" s="1"/>
    </row>
    <row r="26" spans="1:4" x14ac:dyDescent="0.35">
      <c r="A26" s="42" t="s">
        <v>225</v>
      </c>
      <c r="B26" s="41" t="s">
        <v>463</v>
      </c>
      <c r="C26" s="1"/>
      <c r="D26" s="1"/>
    </row>
    <row r="27" spans="1:4" x14ac:dyDescent="0.35">
      <c r="A27" s="42" t="s">
        <v>226</v>
      </c>
      <c r="B27" s="41" t="s">
        <v>463</v>
      </c>
      <c r="C27" s="1">
        <v>2.2000000000000002</v>
      </c>
      <c r="D27" s="1">
        <v>1.8</v>
      </c>
    </row>
    <row r="28" spans="1:4" x14ac:dyDescent="0.35">
      <c r="A28" s="42" t="s">
        <v>227</v>
      </c>
      <c r="B28" s="41" t="s">
        <v>465</v>
      </c>
      <c r="C28" s="1">
        <v>0.3</v>
      </c>
      <c r="D28" s="1"/>
    </row>
    <row r="29" spans="1:4" x14ac:dyDescent="0.35">
      <c r="A29" s="42" t="s">
        <v>228</v>
      </c>
      <c r="B29" s="41" t="s">
        <v>463</v>
      </c>
      <c r="C29" s="1">
        <v>4.8</v>
      </c>
      <c r="D29" s="1">
        <v>4.5999999999999996</v>
      </c>
    </row>
    <row r="30" spans="1:4" x14ac:dyDescent="0.35">
      <c r="A30" s="42" t="s">
        <v>229</v>
      </c>
      <c r="B30" s="41" t="s">
        <v>465</v>
      </c>
      <c r="C30" s="1">
        <v>0.3</v>
      </c>
      <c r="D30" s="1"/>
    </row>
    <row r="31" spans="1:4" x14ac:dyDescent="0.35">
      <c r="A31" s="42" t="s">
        <v>230</v>
      </c>
      <c r="B31" s="41" t="s">
        <v>463</v>
      </c>
      <c r="C31" s="1">
        <v>0.1</v>
      </c>
      <c r="D31" s="1"/>
    </row>
    <row r="32" spans="1:4" x14ac:dyDescent="0.35">
      <c r="A32" s="42" t="s">
        <v>231</v>
      </c>
      <c r="B32" s="41" t="s">
        <v>465</v>
      </c>
      <c r="C32" s="1">
        <v>75</v>
      </c>
      <c r="D32" s="1"/>
    </row>
    <row r="33" spans="1:4" x14ac:dyDescent="0.35">
      <c r="A33" s="42" t="s">
        <v>232</v>
      </c>
      <c r="B33" s="41" t="s">
        <v>463</v>
      </c>
      <c r="C33" s="1">
        <v>9.6999999999999993</v>
      </c>
      <c r="D33" s="1">
        <v>9.3000000000000007</v>
      </c>
    </row>
    <row r="34" spans="1:4" x14ac:dyDescent="0.35">
      <c r="A34" s="42" t="s">
        <v>233</v>
      </c>
      <c r="B34" s="41" t="s">
        <v>465</v>
      </c>
      <c r="C34" s="1">
        <v>25</v>
      </c>
      <c r="D34" s="1"/>
    </row>
    <row r="35" spans="1:4" x14ac:dyDescent="0.35">
      <c r="A35" s="42" t="s">
        <v>234</v>
      </c>
      <c r="B35" s="41" t="s">
        <v>465</v>
      </c>
      <c r="C35" s="1">
        <v>3</v>
      </c>
      <c r="D35" s="1"/>
    </row>
    <row r="36" spans="1:4" x14ac:dyDescent="0.35">
      <c r="A36" s="42" t="s">
        <v>235</v>
      </c>
      <c r="B36" s="41" t="s">
        <v>465</v>
      </c>
      <c r="C36" s="1">
        <v>5</v>
      </c>
      <c r="D36" s="1"/>
    </row>
    <row r="37" spans="1:4" x14ac:dyDescent="0.35">
      <c r="A37" s="42" t="s">
        <v>236</v>
      </c>
      <c r="B37" s="41" t="s">
        <v>465</v>
      </c>
      <c r="C37" s="1">
        <v>5</v>
      </c>
      <c r="D37" s="1"/>
    </row>
    <row r="38" spans="1:4" x14ac:dyDescent="0.35">
      <c r="A38" s="42" t="s">
        <v>237</v>
      </c>
      <c r="B38" s="41" t="s">
        <v>465</v>
      </c>
      <c r="C38" s="1">
        <v>3</v>
      </c>
      <c r="D38" s="1"/>
    </row>
    <row r="39" spans="1:4" x14ac:dyDescent="0.35">
      <c r="A39" s="42" t="s">
        <v>238</v>
      </c>
      <c r="B39" s="41" t="s">
        <v>465</v>
      </c>
      <c r="C39" s="1">
        <v>5</v>
      </c>
      <c r="D39" s="1"/>
    </row>
    <row r="40" spans="1:4" x14ac:dyDescent="0.35">
      <c r="A40" s="42" t="s">
        <v>266</v>
      </c>
      <c r="B40" s="41" t="s">
        <v>465</v>
      </c>
      <c r="C40" s="1">
        <v>5</v>
      </c>
      <c r="D40" s="1"/>
    </row>
    <row r="41" spans="1:4" x14ac:dyDescent="0.35">
      <c r="A41" s="42" t="s">
        <v>239</v>
      </c>
      <c r="B41" s="41" t="s">
        <v>465</v>
      </c>
      <c r="C41" s="1">
        <v>2</v>
      </c>
      <c r="D41" s="1"/>
    </row>
    <row r="42" spans="1:4" x14ac:dyDescent="0.35">
      <c r="A42" s="42" t="s">
        <v>240</v>
      </c>
      <c r="B42" s="41" t="s">
        <v>465</v>
      </c>
      <c r="C42" s="1">
        <v>2</v>
      </c>
      <c r="D42" s="1"/>
    </row>
    <row r="43" spans="1:4" x14ac:dyDescent="0.35">
      <c r="A43" s="42" t="s">
        <v>241</v>
      </c>
      <c r="B43" s="41" t="s">
        <v>463</v>
      </c>
      <c r="C43" s="1">
        <v>0.1</v>
      </c>
      <c r="D43" s="1"/>
    </row>
    <row r="44" spans="1:4" x14ac:dyDescent="0.35">
      <c r="A44" s="42" t="s">
        <v>242</v>
      </c>
      <c r="B44" s="41" t="s">
        <v>463</v>
      </c>
      <c r="C44" s="1">
        <v>2E-3</v>
      </c>
      <c r="D44" s="1"/>
    </row>
    <row r="45" spans="1:4" x14ac:dyDescent="0.35">
      <c r="A45" s="42" t="s">
        <v>243</v>
      </c>
      <c r="B45" s="41" t="s">
        <v>463</v>
      </c>
      <c r="C45" s="1"/>
      <c r="D45" s="1"/>
    </row>
    <row r="46" spans="1:4" x14ac:dyDescent="0.35">
      <c r="A46" s="42" t="s">
        <v>244</v>
      </c>
      <c r="B46" s="41" t="s">
        <v>465</v>
      </c>
      <c r="C46" s="1">
        <v>0.2</v>
      </c>
      <c r="D46" s="1"/>
    </row>
    <row r="47" spans="1:4" x14ac:dyDescent="0.35">
      <c r="A47" s="42" t="s">
        <v>245</v>
      </c>
      <c r="B47" s="41" t="s">
        <v>465</v>
      </c>
      <c r="C47" s="1">
        <v>2</v>
      </c>
      <c r="D47" s="1"/>
    </row>
    <row r="48" spans="1:4" x14ac:dyDescent="0.35">
      <c r="A48" s="42" t="s">
        <v>246</v>
      </c>
      <c r="B48" s="41" t="s">
        <v>465</v>
      </c>
      <c r="C48" s="1">
        <v>25</v>
      </c>
      <c r="D48" s="1"/>
    </row>
    <row r="49" spans="1:4" x14ac:dyDescent="0.35">
      <c r="A49" s="42" t="s">
        <v>247</v>
      </c>
      <c r="B49" s="41" t="s">
        <v>465</v>
      </c>
      <c r="C49" s="1">
        <v>25</v>
      </c>
      <c r="D49"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F0D0-CF2C-498E-94D0-1D0B240CFBB1}">
  <sheetPr codeName="Sheet18"/>
  <dimension ref="A1:H49"/>
  <sheetViews>
    <sheetView zoomScale="55" zoomScaleNormal="55" workbookViewId="0">
      <selection sqref="A1:XFD1048576"/>
    </sheetView>
  </sheetViews>
  <sheetFormatPr defaultColWidth="8.58203125" defaultRowHeight="15.5" x14ac:dyDescent="0.35"/>
  <cols>
    <col min="1" max="1" width="7.08203125" style="1" bestFit="1" customWidth="1"/>
    <col min="2" max="2" width="5.58203125" style="1" bestFit="1" customWidth="1"/>
    <col min="3" max="3" width="14.58203125" style="1" bestFit="1" customWidth="1"/>
    <col min="4" max="4" width="31.58203125" style="2" bestFit="1" customWidth="1"/>
    <col min="5" max="5" width="23.58203125" style="1" bestFit="1" customWidth="1"/>
    <col min="6" max="6" width="8.58203125" style="1"/>
    <col min="7" max="7" width="8.08203125" style="1" customWidth="1"/>
    <col min="8" max="16384" width="8.58203125" style="1"/>
  </cols>
  <sheetData>
    <row r="1" spans="1:8" x14ac:dyDescent="0.35">
      <c r="A1" s="41" t="s">
        <v>661</v>
      </c>
      <c r="D1" s="1"/>
    </row>
    <row r="2" spans="1:8" x14ac:dyDescent="0.35">
      <c r="A2" s="16" t="s">
        <v>466</v>
      </c>
      <c r="B2" s="16" t="s">
        <v>464</v>
      </c>
      <c r="C2" s="16" t="s">
        <v>468</v>
      </c>
      <c r="D2" s="45" t="s">
        <v>470</v>
      </c>
      <c r="E2" s="45" t="s">
        <v>471</v>
      </c>
    </row>
    <row r="3" spans="1:8" x14ac:dyDescent="0.35">
      <c r="A3" s="42" t="s">
        <v>202</v>
      </c>
      <c r="B3" s="41" t="s">
        <v>465</v>
      </c>
      <c r="C3" s="43">
        <v>20</v>
      </c>
      <c r="D3" s="42" t="s">
        <v>472</v>
      </c>
      <c r="E3" s="42" t="s">
        <v>476</v>
      </c>
    </row>
    <row r="4" spans="1:8" x14ac:dyDescent="0.35">
      <c r="A4" s="42" t="s">
        <v>203</v>
      </c>
      <c r="B4" s="41" t="s">
        <v>463</v>
      </c>
      <c r="C4" s="43" t="s">
        <v>250</v>
      </c>
      <c r="D4" s="44" t="s">
        <v>475</v>
      </c>
      <c r="E4" s="44" t="s">
        <v>479</v>
      </c>
    </row>
    <row r="5" spans="1:8" ht="31" x14ac:dyDescent="0.35">
      <c r="A5" s="42" t="s">
        <v>204</v>
      </c>
      <c r="B5" s="41" t="s">
        <v>463</v>
      </c>
      <c r="C5" s="43" t="s">
        <v>251</v>
      </c>
      <c r="D5" s="44" t="s">
        <v>469</v>
      </c>
      <c r="E5" s="44" t="s">
        <v>479</v>
      </c>
    </row>
    <row r="6" spans="1:8" x14ac:dyDescent="0.35">
      <c r="A6" s="42" t="s">
        <v>205</v>
      </c>
      <c r="B6" s="41" t="s">
        <v>465</v>
      </c>
      <c r="C6" s="43" t="s">
        <v>252</v>
      </c>
      <c r="D6" s="42" t="s">
        <v>472</v>
      </c>
      <c r="E6" s="42" t="s">
        <v>476</v>
      </c>
    </row>
    <row r="7" spans="1:8" x14ac:dyDescent="0.35">
      <c r="A7" s="42" t="s">
        <v>206</v>
      </c>
      <c r="B7" s="41" t="s">
        <v>465</v>
      </c>
      <c r="C7" s="43" t="s">
        <v>253</v>
      </c>
      <c r="D7" s="44" t="s">
        <v>475</v>
      </c>
      <c r="E7" s="44" t="s">
        <v>479</v>
      </c>
    </row>
    <row r="8" spans="1:8" x14ac:dyDescent="0.35">
      <c r="A8" s="42" t="s">
        <v>207</v>
      </c>
      <c r="B8" s="41" t="s">
        <v>463</v>
      </c>
      <c r="C8" s="43">
        <v>4.82</v>
      </c>
      <c r="D8" s="44" t="s">
        <v>475</v>
      </c>
      <c r="E8" s="44" t="s">
        <v>479</v>
      </c>
    </row>
    <row r="9" spans="1:8" x14ac:dyDescent="0.35">
      <c r="A9" s="42" t="s">
        <v>208</v>
      </c>
      <c r="B9" s="41" t="s">
        <v>465</v>
      </c>
      <c r="C9" s="43" t="s">
        <v>254</v>
      </c>
      <c r="D9" s="44" t="s">
        <v>475</v>
      </c>
      <c r="E9" s="44" t="s">
        <v>479</v>
      </c>
    </row>
    <row r="10" spans="1:8" x14ac:dyDescent="0.35">
      <c r="A10" s="42" t="s">
        <v>209</v>
      </c>
      <c r="B10" s="41" t="s">
        <v>465</v>
      </c>
      <c r="C10" s="43" t="s">
        <v>255</v>
      </c>
      <c r="D10" s="44" t="s">
        <v>475</v>
      </c>
      <c r="E10" s="44" t="s">
        <v>479</v>
      </c>
    </row>
    <row r="11" spans="1:8" x14ac:dyDescent="0.35">
      <c r="A11" s="42" t="s">
        <v>210</v>
      </c>
      <c r="B11" s="41" t="s">
        <v>463</v>
      </c>
      <c r="C11" s="43" t="s">
        <v>256</v>
      </c>
      <c r="D11" s="44" t="s">
        <v>475</v>
      </c>
      <c r="E11" s="44" t="s">
        <v>479</v>
      </c>
      <c r="G11" s="2"/>
      <c r="H11" s="42"/>
    </row>
    <row r="12" spans="1:8" x14ac:dyDescent="0.35">
      <c r="A12" s="42" t="s">
        <v>211</v>
      </c>
      <c r="B12" s="41" t="s">
        <v>463</v>
      </c>
      <c r="C12" s="43">
        <v>5</v>
      </c>
      <c r="D12" s="44" t="s">
        <v>475</v>
      </c>
      <c r="E12" s="44" t="s">
        <v>479</v>
      </c>
      <c r="G12" s="2"/>
      <c r="H12" s="2"/>
    </row>
    <row r="13" spans="1:8" x14ac:dyDescent="0.35">
      <c r="A13" s="42" t="s">
        <v>212</v>
      </c>
      <c r="B13" s="41" t="s">
        <v>463</v>
      </c>
      <c r="C13" s="43">
        <v>9.8000000000000007</v>
      </c>
      <c r="D13" s="44" t="s">
        <v>475</v>
      </c>
      <c r="E13" s="44" t="s">
        <v>479</v>
      </c>
      <c r="G13" s="2"/>
      <c r="H13" s="2"/>
    </row>
    <row r="14" spans="1:8" x14ac:dyDescent="0.35">
      <c r="A14" s="42" t="s">
        <v>213</v>
      </c>
      <c r="B14" s="41" t="s">
        <v>463</v>
      </c>
      <c r="C14" s="43" t="s">
        <v>251</v>
      </c>
      <c r="D14" s="44" t="s">
        <v>475</v>
      </c>
      <c r="E14" s="44" t="s">
        <v>479</v>
      </c>
      <c r="G14" s="44"/>
      <c r="H14" s="2"/>
    </row>
    <row r="15" spans="1:8" x14ac:dyDescent="0.35">
      <c r="A15" s="42" t="s">
        <v>214</v>
      </c>
      <c r="B15" s="41" t="s">
        <v>463</v>
      </c>
      <c r="C15" s="43">
        <v>4.4999999999999998E-2</v>
      </c>
      <c r="D15" s="44" t="s">
        <v>475</v>
      </c>
      <c r="E15" s="44" t="s">
        <v>479</v>
      </c>
    </row>
    <row r="16" spans="1:8" x14ac:dyDescent="0.35">
      <c r="A16" s="42" t="s">
        <v>215</v>
      </c>
      <c r="B16" s="41" t="s">
        <v>465</v>
      </c>
      <c r="C16" s="43" t="s">
        <v>257</v>
      </c>
      <c r="D16" s="44" t="s">
        <v>475</v>
      </c>
      <c r="E16" s="44" t="s">
        <v>479</v>
      </c>
    </row>
    <row r="17" spans="1:5" x14ac:dyDescent="0.35">
      <c r="A17" s="42" t="s">
        <v>216</v>
      </c>
      <c r="B17" s="41" t="s">
        <v>463</v>
      </c>
      <c r="C17" s="43">
        <v>0.05</v>
      </c>
      <c r="D17" s="44" t="s">
        <v>475</v>
      </c>
      <c r="E17" s="44" t="s">
        <v>479</v>
      </c>
    </row>
    <row r="18" spans="1:5" x14ac:dyDescent="0.35">
      <c r="A18" s="42" t="s">
        <v>217</v>
      </c>
      <c r="B18" s="41" t="s">
        <v>465</v>
      </c>
      <c r="C18" s="43" t="s">
        <v>258</v>
      </c>
      <c r="D18" s="44" t="s">
        <v>475</v>
      </c>
      <c r="E18" s="44" t="s">
        <v>479</v>
      </c>
    </row>
    <row r="19" spans="1:5" x14ac:dyDescent="0.35">
      <c r="A19" s="42" t="s">
        <v>218</v>
      </c>
      <c r="B19" s="41" t="s">
        <v>463</v>
      </c>
      <c r="C19" s="43">
        <v>3</v>
      </c>
      <c r="D19" s="44" t="s">
        <v>475</v>
      </c>
      <c r="E19" s="44" t="s">
        <v>479</v>
      </c>
    </row>
    <row r="20" spans="1:5" x14ac:dyDescent="0.35">
      <c r="A20" s="42" t="s">
        <v>219</v>
      </c>
      <c r="B20" s="41" t="s">
        <v>465</v>
      </c>
      <c r="C20" s="43">
        <v>3</v>
      </c>
      <c r="D20" s="42" t="s">
        <v>473</v>
      </c>
      <c r="E20" s="42" t="s">
        <v>477</v>
      </c>
    </row>
    <row r="21" spans="1:5" ht="31" x14ac:dyDescent="0.35">
      <c r="A21" s="42" t="s">
        <v>220</v>
      </c>
      <c r="B21" s="41" t="s">
        <v>463</v>
      </c>
      <c r="C21" s="43" t="s">
        <v>259</v>
      </c>
      <c r="D21" s="44" t="s">
        <v>469</v>
      </c>
      <c r="E21" s="44" t="s">
        <v>479</v>
      </c>
    </row>
    <row r="22" spans="1:5" x14ac:dyDescent="0.35">
      <c r="A22" s="42" t="s">
        <v>221</v>
      </c>
      <c r="B22" s="41" t="s">
        <v>465</v>
      </c>
      <c r="C22" s="43">
        <v>2</v>
      </c>
      <c r="D22" s="42" t="s">
        <v>473</v>
      </c>
      <c r="E22" s="42" t="s">
        <v>477</v>
      </c>
    </row>
    <row r="23" spans="1:5" x14ac:dyDescent="0.35">
      <c r="A23" s="42" t="s">
        <v>222</v>
      </c>
      <c r="B23" s="41" t="s">
        <v>465</v>
      </c>
      <c r="C23" s="43" t="s">
        <v>252</v>
      </c>
      <c r="D23" s="44" t="s">
        <v>475</v>
      </c>
      <c r="E23" s="44" t="s">
        <v>479</v>
      </c>
    </row>
    <row r="24" spans="1:5" x14ac:dyDescent="0.35">
      <c r="A24" s="42" t="s">
        <v>223</v>
      </c>
      <c r="B24" s="41" t="s">
        <v>465</v>
      </c>
      <c r="C24" s="43" t="s">
        <v>260</v>
      </c>
      <c r="D24" s="44" t="s">
        <v>475</v>
      </c>
      <c r="E24" s="44" t="s">
        <v>479</v>
      </c>
    </row>
    <row r="25" spans="1:5" x14ac:dyDescent="0.35">
      <c r="A25" s="42" t="s">
        <v>224</v>
      </c>
      <c r="B25" s="41" t="s">
        <v>465</v>
      </c>
      <c r="C25" s="43" t="s">
        <v>260</v>
      </c>
      <c r="D25" s="44" t="s">
        <v>475</v>
      </c>
      <c r="E25" s="44" t="s">
        <v>479</v>
      </c>
    </row>
    <row r="26" spans="1:5" x14ac:dyDescent="0.35">
      <c r="A26" s="42" t="s">
        <v>225</v>
      </c>
      <c r="B26" s="41" t="s">
        <v>463</v>
      </c>
      <c r="C26" s="43" t="s">
        <v>261</v>
      </c>
      <c r="D26" s="44" t="s">
        <v>475</v>
      </c>
      <c r="E26" s="44" t="s">
        <v>479</v>
      </c>
    </row>
    <row r="27" spans="1:5" x14ac:dyDescent="0.35">
      <c r="A27" s="42" t="s">
        <v>226</v>
      </c>
      <c r="B27" s="41" t="s">
        <v>463</v>
      </c>
      <c r="C27" s="43">
        <v>2</v>
      </c>
      <c r="D27" s="44" t="s">
        <v>475</v>
      </c>
      <c r="E27" s="44" t="s">
        <v>479</v>
      </c>
    </row>
    <row r="28" spans="1:5" x14ac:dyDescent="0.35">
      <c r="A28" s="42" t="s">
        <v>227</v>
      </c>
      <c r="B28" s="41" t="s">
        <v>465</v>
      </c>
      <c r="C28" s="43" t="s">
        <v>255</v>
      </c>
      <c r="D28" s="44" t="s">
        <v>475</v>
      </c>
      <c r="E28" s="44" t="s">
        <v>479</v>
      </c>
    </row>
    <row r="29" spans="1:5" x14ac:dyDescent="0.35">
      <c r="A29" s="42" t="s">
        <v>228</v>
      </c>
      <c r="B29" s="41" t="s">
        <v>463</v>
      </c>
      <c r="C29" s="43">
        <v>4.6900000000000004</v>
      </c>
      <c r="D29" s="44" t="s">
        <v>475</v>
      </c>
      <c r="E29" s="44" t="s">
        <v>479</v>
      </c>
    </row>
    <row r="30" spans="1:5" x14ac:dyDescent="0.35">
      <c r="A30" s="42" t="s">
        <v>229</v>
      </c>
      <c r="B30" s="41" t="s">
        <v>465</v>
      </c>
      <c r="C30" s="43" t="s">
        <v>255</v>
      </c>
      <c r="D30" s="44" t="s">
        <v>475</v>
      </c>
      <c r="E30" s="44" t="s">
        <v>479</v>
      </c>
    </row>
    <row r="31" spans="1:5" x14ac:dyDescent="0.35">
      <c r="A31" s="42" t="s">
        <v>230</v>
      </c>
      <c r="B31" s="41" t="s">
        <v>463</v>
      </c>
      <c r="C31" s="43" t="s">
        <v>262</v>
      </c>
      <c r="D31" s="44" t="s">
        <v>475</v>
      </c>
      <c r="E31" s="44" t="s">
        <v>479</v>
      </c>
    </row>
    <row r="32" spans="1:5" x14ac:dyDescent="0.35">
      <c r="A32" s="42" t="s">
        <v>231</v>
      </c>
      <c r="B32" s="41" t="s">
        <v>465</v>
      </c>
      <c r="C32" s="43" t="s">
        <v>257</v>
      </c>
      <c r="D32" s="42" t="s">
        <v>474</v>
      </c>
      <c r="E32" s="42" t="s">
        <v>478</v>
      </c>
    </row>
    <row r="33" spans="1:5" x14ac:dyDescent="0.35">
      <c r="A33" s="42" t="s">
        <v>232</v>
      </c>
      <c r="B33" s="41" t="s">
        <v>463</v>
      </c>
      <c r="C33" s="43">
        <v>9.51</v>
      </c>
      <c r="D33" s="44" t="s">
        <v>475</v>
      </c>
      <c r="E33" s="44" t="s">
        <v>479</v>
      </c>
    </row>
    <row r="34" spans="1:5" x14ac:dyDescent="0.35">
      <c r="A34" s="42" t="s">
        <v>233</v>
      </c>
      <c r="B34" s="41" t="s">
        <v>465</v>
      </c>
      <c r="C34" s="43" t="s">
        <v>263</v>
      </c>
      <c r="D34" s="44" t="s">
        <v>475</v>
      </c>
      <c r="E34" s="44" t="s">
        <v>479</v>
      </c>
    </row>
    <row r="35" spans="1:5" x14ac:dyDescent="0.35">
      <c r="A35" s="42" t="s">
        <v>234</v>
      </c>
      <c r="B35" s="41" t="s">
        <v>465</v>
      </c>
      <c r="C35" s="43" t="s">
        <v>253</v>
      </c>
      <c r="D35" s="44" t="s">
        <v>475</v>
      </c>
      <c r="E35" s="44" t="s">
        <v>479</v>
      </c>
    </row>
    <row r="36" spans="1:5" x14ac:dyDescent="0.35">
      <c r="A36" s="42" t="s">
        <v>235</v>
      </c>
      <c r="B36" s="41" t="s">
        <v>465</v>
      </c>
      <c r="C36" s="43" t="s">
        <v>253</v>
      </c>
      <c r="D36" s="44" t="s">
        <v>475</v>
      </c>
      <c r="E36" s="44" t="s">
        <v>479</v>
      </c>
    </row>
    <row r="37" spans="1:5" x14ac:dyDescent="0.35">
      <c r="A37" s="42" t="s">
        <v>236</v>
      </c>
      <c r="B37" s="41" t="s">
        <v>465</v>
      </c>
      <c r="C37" s="43" t="s">
        <v>264</v>
      </c>
      <c r="D37" s="44" t="s">
        <v>475</v>
      </c>
      <c r="E37" s="44" t="s">
        <v>479</v>
      </c>
    </row>
    <row r="38" spans="1:5" x14ac:dyDescent="0.35">
      <c r="A38" s="42" t="s">
        <v>237</v>
      </c>
      <c r="B38" s="41" t="s">
        <v>465</v>
      </c>
      <c r="C38" s="43" t="s">
        <v>252</v>
      </c>
      <c r="D38" s="44" t="s">
        <v>475</v>
      </c>
      <c r="E38" s="44" t="s">
        <v>479</v>
      </c>
    </row>
    <row r="39" spans="1:5" x14ac:dyDescent="0.35">
      <c r="A39" s="42" t="s">
        <v>238</v>
      </c>
      <c r="B39" s="41" t="s">
        <v>465</v>
      </c>
      <c r="C39" s="43" t="s">
        <v>260</v>
      </c>
      <c r="D39" s="44" t="s">
        <v>475</v>
      </c>
      <c r="E39" s="44" t="s">
        <v>479</v>
      </c>
    </row>
    <row r="40" spans="1:5" x14ac:dyDescent="0.35">
      <c r="A40" s="42" t="s">
        <v>266</v>
      </c>
      <c r="B40" s="41" t="s">
        <v>465</v>
      </c>
      <c r="C40" s="43" t="s">
        <v>260</v>
      </c>
      <c r="D40" s="44" t="s">
        <v>475</v>
      </c>
      <c r="E40" s="44" t="s">
        <v>479</v>
      </c>
    </row>
    <row r="41" spans="1:5" x14ac:dyDescent="0.35">
      <c r="A41" s="42" t="s">
        <v>239</v>
      </c>
      <c r="B41" s="41" t="s">
        <v>465</v>
      </c>
      <c r="C41" s="43" t="s">
        <v>255</v>
      </c>
      <c r="D41" s="44" t="s">
        <v>475</v>
      </c>
      <c r="E41" s="44" t="s">
        <v>479</v>
      </c>
    </row>
    <row r="42" spans="1:5" x14ac:dyDescent="0.35">
      <c r="A42" s="42" t="s">
        <v>240</v>
      </c>
      <c r="B42" s="41" t="s">
        <v>465</v>
      </c>
      <c r="C42" s="43" t="s">
        <v>253</v>
      </c>
      <c r="D42" s="44" t="s">
        <v>475</v>
      </c>
      <c r="E42" s="44" t="s">
        <v>479</v>
      </c>
    </row>
    <row r="43" spans="1:5" x14ac:dyDescent="0.35">
      <c r="A43" s="42" t="s">
        <v>241</v>
      </c>
      <c r="B43" s="41" t="s">
        <v>463</v>
      </c>
      <c r="C43" s="43" t="s">
        <v>265</v>
      </c>
      <c r="D43" s="44" t="s">
        <v>475</v>
      </c>
      <c r="E43" s="44" t="s">
        <v>479</v>
      </c>
    </row>
    <row r="44" spans="1:5" x14ac:dyDescent="0.35">
      <c r="A44" s="42" t="s">
        <v>242</v>
      </c>
      <c r="B44" s="41" t="s">
        <v>463</v>
      </c>
      <c r="C44" s="43" t="s">
        <v>251</v>
      </c>
      <c r="D44" s="42" t="s">
        <v>474</v>
      </c>
      <c r="E44" s="42" t="s">
        <v>478</v>
      </c>
    </row>
    <row r="45" spans="1:5" x14ac:dyDescent="0.35">
      <c r="A45" s="42" t="s">
        <v>243</v>
      </c>
      <c r="B45" s="41" t="s">
        <v>463</v>
      </c>
      <c r="C45" s="43" t="s">
        <v>251</v>
      </c>
      <c r="D45" s="44" t="s">
        <v>475</v>
      </c>
      <c r="E45" s="44" t="s">
        <v>479</v>
      </c>
    </row>
    <row r="46" spans="1:5" x14ac:dyDescent="0.35">
      <c r="A46" s="42" t="s">
        <v>244</v>
      </c>
      <c r="B46" s="41" t="s">
        <v>465</v>
      </c>
      <c r="C46" s="43" t="s">
        <v>260</v>
      </c>
      <c r="D46" s="44" t="s">
        <v>475</v>
      </c>
      <c r="E46" s="44" t="s">
        <v>479</v>
      </c>
    </row>
    <row r="47" spans="1:5" x14ac:dyDescent="0.35">
      <c r="A47" s="42" t="s">
        <v>245</v>
      </c>
      <c r="B47" s="41" t="s">
        <v>465</v>
      </c>
      <c r="C47" s="43" t="s">
        <v>255</v>
      </c>
      <c r="D47" s="44" t="s">
        <v>475</v>
      </c>
      <c r="E47" s="44" t="s">
        <v>479</v>
      </c>
    </row>
    <row r="48" spans="1:5" x14ac:dyDescent="0.35">
      <c r="A48" s="42" t="s">
        <v>246</v>
      </c>
      <c r="B48" s="41" t="s">
        <v>465</v>
      </c>
      <c r="C48" s="43" t="s">
        <v>257</v>
      </c>
      <c r="D48" s="44" t="s">
        <v>475</v>
      </c>
      <c r="E48" s="44" t="s">
        <v>479</v>
      </c>
    </row>
    <row r="49" spans="1:5" x14ac:dyDescent="0.35">
      <c r="A49" s="42" t="s">
        <v>247</v>
      </c>
      <c r="B49" s="41" t="s">
        <v>465</v>
      </c>
      <c r="C49" s="43" t="s">
        <v>263</v>
      </c>
      <c r="D49" s="44" t="s">
        <v>475</v>
      </c>
      <c r="E49" s="44" t="s">
        <v>479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7B850-2207-4CD3-8DE7-6538CE2EA6F5}">
  <sheetPr codeName="Sheet19"/>
  <dimension ref="A1:D9"/>
  <sheetViews>
    <sheetView zoomScale="55" zoomScaleNormal="55" workbookViewId="0">
      <selection sqref="A1:XFD1048576"/>
    </sheetView>
  </sheetViews>
  <sheetFormatPr defaultColWidth="8.83203125" defaultRowHeight="15.5" x14ac:dyDescent="0.35"/>
  <cols>
    <col min="1" max="1" width="14.08203125" customWidth="1"/>
    <col min="2" max="2" width="7" bestFit="1" customWidth="1"/>
    <col min="3" max="3" width="8.5" bestFit="1" customWidth="1"/>
    <col min="4" max="4" width="22.08203125" bestFit="1" customWidth="1"/>
  </cols>
  <sheetData>
    <row r="1" spans="1:4" s="1" customFormat="1" x14ac:dyDescent="0.35">
      <c r="A1" s="41" t="s">
        <v>662</v>
      </c>
    </row>
    <row r="2" spans="1:4" s="1" customFormat="1" x14ac:dyDescent="0.35"/>
    <row r="3" spans="1:4" s="1" customFormat="1" ht="16" x14ac:dyDescent="0.4">
      <c r="A3" s="65" t="s">
        <v>614</v>
      </c>
      <c r="B3" s="46" t="s">
        <v>482</v>
      </c>
      <c r="C3" s="51" t="s">
        <v>536</v>
      </c>
      <c r="D3" s="51" t="s">
        <v>613</v>
      </c>
    </row>
    <row r="4" spans="1:4" s="1" customFormat="1" x14ac:dyDescent="0.35">
      <c r="A4" s="65"/>
      <c r="B4" s="46" t="s">
        <v>4</v>
      </c>
      <c r="C4" s="35" t="s">
        <v>480</v>
      </c>
      <c r="D4" s="51" t="s">
        <v>85</v>
      </c>
    </row>
    <row r="5" spans="1:4" x14ac:dyDescent="0.35">
      <c r="A5" s="47">
        <v>71</v>
      </c>
      <c r="B5" s="47">
        <v>416</v>
      </c>
      <c r="C5" s="2">
        <v>7.9</v>
      </c>
      <c r="D5" s="143">
        <v>980</v>
      </c>
    </row>
    <row r="6" spans="1:4" x14ac:dyDescent="0.35">
      <c r="A6" s="47">
        <v>73</v>
      </c>
      <c r="B6" s="47">
        <v>399</v>
      </c>
      <c r="C6" s="2">
        <v>8.1</v>
      </c>
      <c r="D6" s="143">
        <v>980</v>
      </c>
    </row>
    <row r="7" spans="1:4" x14ac:dyDescent="0.35">
      <c r="A7" s="47">
        <v>74</v>
      </c>
      <c r="B7" s="47">
        <v>390</v>
      </c>
      <c r="C7" s="2">
        <v>8.5</v>
      </c>
      <c r="D7" s="143">
        <v>980</v>
      </c>
    </row>
    <row r="8" spans="1:4" x14ac:dyDescent="0.35">
      <c r="A8" s="47">
        <v>84</v>
      </c>
      <c r="B8" s="47">
        <v>395</v>
      </c>
      <c r="C8" s="2">
        <v>6.4</v>
      </c>
      <c r="D8" s="143">
        <v>980</v>
      </c>
    </row>
    <row r="9" spans="1:4" x14ac:dyDescent="0.35">
      <c r="A9" s="47">
        <v>102</v>
      </c>
      <c r="B9" s="47">
        <v>395</v>
      </c>
      <c r="C9" s="88">
        <v>6</v>
      </c>
      <c r="D9" s="143">
        <v>980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A854-3585-4FF9-A1BA-A36F150FF317}">
  <sheetPr codeName="Sheet20"/>
  <dimension ref="A1:AK69"/>
  <sheetViews>
    <sheetView zoomScale="55" zoomScaleNormal="55" workbookViewId="0">
      <selection sqref="A1:XFD1048576"/>
    </sheetView>
  </sheetViews>
  <sheetFormatPr defaultColWidth="8.83203125" defaultRowHeight="15.5" x14ac:dyDescent="0.35"/>
  <cols>
    <col min="1" max="1" width="18.58203125" style="1" customWidth="1"/>
    <col min="2" max="2" width="15.58203125" style="1" customWidth="1"/>
    <col min="3" max="3" width="15.58203125" customWidth="1"/>
    <col min="4" max="5" width="15.58203125" style="1" customWidth="1"/>
    <col min="6" max="6" width="15.58203125" customWidth="1"/>
    <col min="7" max="8" width="15.58203125" style="1" customWidth="1"/>
    <col min="9" max="9" width="15.58203125" customWidth="1"/>
    <col min="10" max="11" width="15.58203125" style="1" customWidth="1"/>
    <col min="12" max="12" width="15.58203125" customWidth="1"/>
    <col min="13" max="14" width="15.58203125" style="1" customWidth="1"/>
    <col min="15" max="15" width="15.58203125" customWidth="1"/>
    <col min="16" max="17" width="15.58203125" style="1" customWidth="1"/>
    <col min="18" max="18" width="15.58203125" customWidth="1"/>
    <col min="19" max="20" width="15.58203125" style="1" customWidth="1"/>
    <col min="21" max="21" width="15.58203125" customWidth="1"/>
    <col min="22" max="23" width="15.58203125" style="1" customWidth="1"/>
    <col min="24" max="24" width="15.58203125" customWidth="1"/>
    <col min="25" max="26" width="15.58203125" style="1" customWidth="1"/>
    <col min="27" max="27" width="15.58203125" customWidth="1"/>
    <col min="28" max="29" width="15.58203125" style="1" customWidth="1"/>
    <col min="30" max="30" width="15.58203125" customWidth="1"/>
    <col min="31" max="33" width="15.58203125" style="1" customWidth="1"/>
    <col min="34" max="34" width="15.58203125" customWidth="1"/>
    <col min="35" max="35" width="15.58203125" style="1" customWidth="1"/>
    <col min="36" max="36" width="15.58203125" customWidth="1"/>
    <col min="37" max="37" width="15.58203125" style="1" customWidth="1"/>
  </cols>
  <sheetData>
    <row r="1" spans="1:37" s="1" customFormat="1" x14ac:dyDescent="0.35">
      <c r="A1" s="41" t="s">
        <v>663</v>
      </c>
    </row>
    <row r="2" spans="1:37" s="1" customFormat="1" x14ac:dyDescent="0.35">
      <c r="A2" s="78" t="s">
        <v>616</v>
      </c>
      <c r="B2" s="74">
        <v>85</v>
      </c>
      <c r="C2" s="75">
        <v>85</v>
      </c>
      <c r="D2" s="83">
        <v>85</v>
      </c>
      <c r="E2" s="74">
        <v>94</v>
      </c>
      <c r="F2" s="75">
        <v>94</v>
      </c>
      <c r="G2" s="84">
        <v>94</v>
      </c>
      <c r="H2" s="75">
        <v>95</v>
      </c>
      <c r="I2" s="75">
        <v>95</v>
      </c>
      <c r="J2" s="83">
        <v>95</v>
      </c>
      <c r="K2" s="74">
        <v>81</v>
      </c>
      <c r="L2" s="75">
        <v>81</v>
      </c>
      <c r="M2" s="84">
        <v>81</v>
      </c>
      <c r="N2" s="75">
        <v>91</v>
      </c>
      <c r="O2" s="75">
        <v>91</v>
      </c>
      <c r="P2" s="83">
        <v>91</v>
      </c>
      <c r="Q2" s="74">
        <v>98</v>
      </c>
      <c r="R2" s="75">
        <v>98</v>
      </c>
      <c r="S2" s="84">
        <v>98</v>
      </c>
      <c r="T2" s="75">
        <v>82</v>
      </c>
      <c r="U2" s="75">
        <v>82</v>
      </c>
      <c r="V2" s="83">
        <v>82</v>
      </c>
      <c r="W2" s="74">
        <v>97</v>
      </c>
      <c r="X2" s="75">
        <v>97</v>
      </c>
      <c r="Y2" s="84">
        <v>97</v>
      </c>
      <c r="Z2" s="75">
        <v>99</v>
      </c>
      <c r="AA2" s="75">
        <v>99</v>
      </c>
      <c r="AB2" s="83">
        <v>99</v>
      </c>
      <c r="AC2" s="74">
        <v>78</v>
      </c>
      <c r="AD2" s="75">
        <v>78</v>
      </c>
      <c r="AE2" s="84">
        <v>78</v>
      </c>
      <c r="AF2" s="75">
        <v>80</v>
      </c>
      <c r="AG2" s="130">
        <v>80</v>
      </c>
      <c r="AH2" s="131">
        <v>80</v>
      </c>
      <c r="AI2" s="74">
        <v>89</v>
      </c>
      <c r="AJ2" s="75">
        <v>89</v>
      </c>
      <c r="AK2" s="84">
        <v>89</v>
      </c>
    </row>
    <row r="3" spans="1:37" s="1" customFormat="1" x14ac:dyDescent="0.35">
      <c r="A3" s="76"/>
      <c r="B3" s="82" t="s">
        <v>548</v>
      </c>
      <c r="C3" s="71" t="s">
        <v>549</v>
      </c>
      <c r="D3" s="73" t="s">
        <v>550</v>
      </c>
      <c r="E3" s="82" t="s">
        <v>548</v>
      </c>
      <c r="F3" s="71" t="s">
        <v>549</v>
      </c>
      <c r="G3" s="77" t="s">
        <v>550</v>
      </c>
      <c r="H3" s="73" t="s">
        <v>548</v>
      </c>
      <c r="I3" s="71" t="s">
        <v>549</v>
      </c>
      <c r="J3" s="73" t="s">
        <v>550</v>
      </c>
      <c r="K3" s="82" t="s">
        <v>548</v>
      </c>
      <c r="L3" s="71" t="s">
        <v>549</v>
      </c>
      <c r="M3" s="77" t="s">
        <v>550</v>
      </c>
      <c r="N3" s="73" t="s">
        <v>548</v>
      </c>
      <c r="O3" s="71" t="s">
        <v>549</v>
      </c>
      <c r="P3" s="73" t="s">
        <v>550</v>
      </c>
      <c r="Q3" s="82" t="s">
        <v>548</v>
      </c>
      <c r="R3" s="71" t="s">
        <v>549</v>
      </c>
      <c r="S3" s="77" t="s">
        <v>550</v>
      </c>
      <c r="T3" s="73" t="s">
        <v>548</v>
      </c>
      <c r="U3" s="71" t="s">
        <v>549</v>
      </c>
      <c r="V3" s="73" t="s">
        <v>550</v>
      </c>
      <c r="W3" s="82" t="s">
        <v>548</v>
      </c>
      <c r="X3" s="71" t="s">
        <v>549</v>
      </c>
      <c r="Y3" s="77" t="s">
        <v>550</v>
      </c>
      <c r="Z3" s="73" t="s">
        <v>548</v>
      </c>
      <c r="AA3" s="71" t="s">
        <v>549</v>
      </c>
      <c r="AB3" s="73" t="s">
        <v>550</v>
      </c>
      <c r="AC3" s="82" t="s">
        <v>548</v>
      </c>
      <c r="AD3" s="71" t="s">
        <v>549</v>
      </c>
      <c r="AE3" s="77" t="s">
        <v>550</v>
      </c>
      <c r="AF3" s="73" t="s">
        <v>548</v>
      </c>
      <c r="AG3" s="132" t="s">
        <v>549</v>
      </c>
      <c r="AH3" s="133" t="s">
        <v>550</v>
      </c>
      <c r="AI3" s="82" t="s">
        <v>548</v>
      </c>
      <c r="AJ3" s="71" t="s">
        <v>549</v>
      </c>
      <c r="AK3" s="77" t="s">
        <v>550</v>
      </c>
    </row>
    <row r="4" spans="1:37" x14ac:dyDescent="0.35">
      <c r="A4" s="79" t="s">
        <v>464</v>
      </c>
      <c r="B4" s="72" t="s">
        <v>314</v>
      </c>
      <c r="C4" s="80" t="s">
        <v>0</v>
      </c>
      <c r="D4" s="80" t="s">
        <v>1</v>
      </c>
      <c r="E4" s="72" t="s">
        <v>314</v>
      </c>
      <c r="F4" s="80" t="s">
        <v>0</v>
      </c>
      <c r="G4" s="81" t="s">
        <v>1</v>
      </c>
      <c r="H4" s="80" t="s">
        <v>314</v>
      </c>
      <c r="I4" s="80" t="s">
        <v>0</v>
      </c>
      <c r="J4" s="80" t="s">
        <v>1</v>
      </c>
      <c r="K4" s="72" t="s">
        <v>314</v>
      </c>
      <c r="L4" s="80" t="s">
        <v>0</v>
      </c>
      <c r="M4" s="81" t="s">
        <v>1</v>
      </c>
      <c r="N4" s="80" t="s">
        <v>314</v>
      </c>
      <c r="O4" s="80" t="s">
        <v>0</v>
      </c>
      <c r="P4" s="80" t="s">
        <v>1</v>
      </c>
      <c r="Q4" s="72" t="s">
        <v>314</v>
      </c>
      <c r="R4" s="80" t="s">
        <v>0</v>
      </c>
      <c r="S4" s="81" t="s">
        <v>1</v>
      </c>
      <c r="T4" s="80" t="s">
        <v>314</v>
      </c>
      <c r="U4" s="80" t="s">
        <v>0</v>
      </c>
      <c r="V4" s="80" t="s">
        <v>1</v>
      </c>
      <c r="W4" s="72" t="s">
        <v>314</v>
      </c>
      <c r="X4" s="80" t="s">
        <v>0</v>
      </c>
      <c r="Y4" s="81" t="s">
        <v>1</v>
      </c>
      <c r="Z4" s="80" t="s">
        <v>314</v>
      </c>
      <c r="AA4" s="80" t="s">
        <v>0</v>
      </c>
      <c r="AB4" s="80" t="s">
        <v>1</v>
      </c>
      <c r="AC4" s="72" t="s">
        <v>314</v>
      </c>
      <c r="AD4" s="80" t="s">
        <v>0</v>
      </c>
      <c r="AE4" s="81" t="s">
        <v>1</v>
      </c>
      <c r="AF4" s="80" t="s">
        <v>314</v>
      </c>
      <c r="AG4" s="134" t="s">
        <v>0</v>
      </c>
      <c r="AH4" s="134" t="s">
        <v>1</v>
      </c>
      <c r="AI4" s="72" t="s">
        <v>314</v>
      </c>
      <c r="AJ4" s="80" t="s">
        <v>0</v>
      </c>
      <c r="AK4" s="81" t="s">
        <v>1</v>
      </c>
    </row>
    <row r="5" spans="1:37" x14ac:dyDescent="0.35">
      <c r="A5" s="56"/>
      <c r="B5" s="135">
        <v>0</v>
      </c>
      <c r="C5" s="136">
        <v>-2E-3</v>
      </c>
      <c r="D5" s="186">
        <v>0</v>
      </c>
      <c r="E5" s="135">
        <v>0</v>
      </c>
      <c r="F5" s="137">
        <v>8.9999999999999993E-3</v>
      </c>
      <c r="G5" s="185">
        <v>0</v>
      </c>
      <c r="H5" s="138">
        <v>0</v>
      </c>
      <c r="I5" s="137">
        <v>6.0000000000000001E-3</v>
      </c>
      <c r="J5" s="186">
        <v>0</v>
      </c>
      <c r="K5" s="135">
        <v>0</v>
      </c>
      <c r="L5" s="139">
        <v>-1E-3</v>
      </c>
      <c r="M5" s="185">
        <v>0</v>
      </c>
      <c r="N5" s="138">
        <v>0</v>
      </c>
      <c r="O5" s="137">
        <v>2E-3</v>
      </c>
      <c r="P5" s="186">
        <v>0</v>
      </c>
      <c r="Q5" s="135">
        <v>0</v>
      </c>
      <c r="R5" s="137">
        <v>4.0000000000000001E-3</v>
      </c>
      <c r="S5" s="185">
        <v>0</v>
      </c>
      <c r="T5" s="138">
        <v>0</v>
      </c>
      <c r="U5" s="139">
        <v>-8.9999999999999993E-3</v>
      </c>
      <c r="V5" s="186">
        <v>0</v>
      </c>
      <c r="W5" s="135">
        <v>0</v>
      </c>
      <c r="X5" s="137">
        <v>5.0000000000000001E-3</v>
      </c>
      <c r="Y5" s="185">
        <v>0</v>
      </c>
      <c r="Z5" s="138">
        <v>0</v>
      </c>
      <c r="AA5" s="137">
        <v>8.0000000000000002E-3</v>
      </c>
      <c r="AB5" s="186">
        <v>0</v>
      </c>
      <c r="AC5" s="135">
        <v>0</v>
      </c>
      <c r="AD5" s="137">
        <v>7.0000000000000001E-3</v>
      </c>
      <c r="AE5" s="185">
        <v>0</v>
      </c>
      <c r="AF5" s="138">
        <v>0</v>
      </c>
      <c r="AG5" s="139">
        <v>-1.2E-2</v>
      </c>
      <c r="AH5" s="186">
        <v>0</v>
      </c>
      <c r="AI5" s="135">
        <v>0</v>
      </c>
      <c r="AJ5" s="139">
        <v>-1E-3</v>
      </c>
      <c r="AK5" s="185">
        <v>0</v>
      </c>
    </row>
    <row r="6" spans="1:37" x14ac:dyDescent="0.35">
      <c r="A6" s="56"/>
      <c r="B6" s="135">
        <v>2.7</v>
      </c>
      <c r="C6" s="47">
        <v>0.10199999999999999</v>
      </c>
      <c r="D6" s="186">
        <v>5.4999999999999997E-3</v>
      </c>
      <c r="E6" s="135">
        <v>0.9</v>
      </c>
      <c r="F6" s="137">
        <v>0.122</v>
      </c>
      <c r="G6" s="185">
        <v>6.1999999999999998E-3</v>
      </c>
      <c r="H6" s="138">
        <v>1.8</v>
      </c>
      <c r="I6" s="137">
        <v>0.106</v>
      </c>
      <c r="J6" s="186">
        <v>6.1000000000000004E-3</v>
      </c>
      <c r="K6" s="135">
        <v>3.3</v>
      </c>
      <c r="L6" s="137">
        <v>0.123</v>
      </c>
      <c r="M6" s="185">
        <v>1.1299999999999999E-2</v>
      </c>
      <c r="N6" s="138">
        <v>3.4</v>
      </c>
      <c r="O6" s="137">
        <v>0.121</v>
      </c>
      <c r="P6" s="186">
        <v>-2.2000000000000001E-3</v>
      </c>
      <c r="Q6" s="135">
        <v>3.8</v>
      </c>
      <c r="R6" s="137">
        <v>0.112</v>
      </c>
      <c r="S6" s="185">
        <v>4.4000000000000003E-3</v>
      </c>
      <c r="T6" s="138">
        <v>1.4</v>
      </c>
      <c r="U6" s="137">
        <v>0.104</v>
      </c>
      <c r="V6" s="186">
        <v>4.7999999999999996E-3</v>
      </c>
      <c r="W6" s="135">
        <v>3.2</v>
      </c>
      <c r="X6" s="137">
        <v>0.128</v>
      </c>
      <c r="Y6" s="185">
        <v>4.0000000000000001E-3</v>
      </c>
      <c r="Z6" s="138">
        <v>1.5</v>
      </c>
      <c r="AA6" s="137">
        <v>0.108</v>
      </c>
      <c r="AB6" s="186">
        <v>1.2999999999999999E-3</v>
      </c>
      <c r="AC6" s="135">
        <v>1</v>
      </c>
      <c r="AD6" s="137">
        <v>0.122</v>
      </c>
      <c r="AE6" s="185">
        <v>5.3E-3</v>
      </c>
      <c r="AF6" s="138">
        <v>0.6</v>
      </c>
      <c r="AG6" s="137">
        <v>0.10199999999999999</v>
      </c>
      <c r="AH6" s="186">
        <v>8.9999999999999998E-4</v>
      </c>
      <c r="AI6" s="135">
        <v>0.8</v>
      </c>
      <c r="AJ6" s="137">
        <v>0.107</v>
      </c>
      <c r="AK6" s="185">
        <v>5.1999999999999998E-3</v>
      </c>
    </row>
    <row r="7" spans="1:37" x14ac:dyDescent="0.35">
      <c r="A7" s="56"/>
      <c r="B7" s="135">
        <v>3</v>
      </c>
      <c r="C7" s="47">
        <v>0.22500000000000001</v>
      </c>
      <c r="D7" s="186">
        <v>9.5999999999999992E-3</v>
      </c>
      <c r="E7" s="135">
        <v>1.2</v>
      </c>
      <c r="F7" s="137">
        <v>0.24099999999999999</v>
      </c>
      <c r="G7" s="185">
        <v>1.47E-2</v>
      </c>
      <c r="H7" s="138">
        <v>2.1</v>
      </c>
      <c r="I7" s="137">
        <v>0.21199999999999999</v>
      </c>
      <c r="J7" s="186">
        <v>8.9999999999999998E-4</v>
      </c>
      <c r="K7" s="135">
        <v>3.5</v>
      </c>
      <c r="L7" s="137">
        <v>0.23100000000000001</v>
      </c>
      <c r="M7" s="185">
        <v>1.35E-2</v>
      </c>
      <c r="N7" s="138">
        <v>3.6</v>
      </c>
      <c r="O7" s="137">
        <v>0.23599999999999999</v>
      </c>
      <c r="P7" s="186">
        <v>1.1900000000000001E-2</v>
      </c>
      <c r="Q7" s="135">
        <v>4.0999999999999996</v>
      </c>
      <c r="R7" s="137">
        <v>0.222</v>
      </c>
      <c r="S7" s="185">
        <v>1.6999999999999999E-3</v>
      </c>
      <c r="T7" s="138">
        <v>1.8</v>
      </c>
      <c r="U7" s="137">
        <v>0.23100000000000001</v>
      </c>
      <c r="V7" s="186">
        <v>6.6E-3</v>
      </c>
      <c r="W7" s="135">
        <v>3.5</v>
      </c>
      <c r="X7" s="137">
        <v>0.23100000000000001</v>
      </c>
      <c r="Y7" s="185">
        <v>6.1999999999999998E-3</v>
      </c>
      <c r="Z7" s="138">
        <v>1.8</v>
      </c>
      <c r="AA7" s="137">
        <v>0.22800000000000001</v>
      </c>
      <c r="AB7" s="186">
        <v>6.4999999999999997E-3</v>
      </c>
      <c r="AC7" s="135">
        <v>1.4</v>
      </c>
      <c r="AD7" s="137">
        <v>0.24399999999999999</v>
      </c>
      <c r="AE7" s="185">
        <v>1.1900000000000001E-2</v>
      </c>
      <c r="AF7" s="138">
        <v>0.9</v>
      </c>
      <c r="AG7" s="137">
        <v>0.22900000000000001</v>
      </c>
      <c r="AH7" s="186">
        <v>8.0000000000000002E-3</v>
      </c>
      <c r="AI7" s="135">
        <v>1.1000000000000001</v>
      </c>
      <c r="AJ7" s="137">
        <v>0.216</v>
      </c>
      <c r="AK7" s="185">
        <v>2.5999999999999999E-3</v>
      </c>
    </row>
    <row r="8" spans="1:37" x14ac:dyDescent="0.35">
      <c r="A8" s="56"/>
      <c r="B8" s="135">
        <v>3.3</v>
      </c>
      <c r="C8" s="47">
        <v>0.33200000000000002</v>
      </c>
      <c r="D8" s="186">
        <v>2.3900000000000001E-2</v>
      </c>
      <c r="E8" s="135">
        <v>1.4</v>
      </c>
      <c r="F8" s="137">
        <v>0.34699999999999998</v>
      </c>
      <c r="G8" s="185">
        <v>1.4200000000000001E-2</v>
      </c>
      <c r="H8" s="138">
        <v>2.2999999999999998</v>
      </c>
      <c r="I8" s="137">
        <v>0.32200000000000001</v>
      </c>
      <c r="J8" s="186">
        <v>-1.2999999999999999E-3</v>
      </c>
      <c r="K8" s="135">
        <v>3.8</v>
      </c>
      <c r="L8" s="137">
        <v>0.34699999999999998</v>
      </c>
      <c r="M8" s="185">
        <v>2.0899999999999998E-2</v>
      </c>
      <c r="N8" s="138">
        <v>3.9</v>
      </c>
      <c r="O8" s="137">
        <v>0.35499999999999998</v>
      </c>
      <c r="P8" s="186">
        <v>1.1900000000000001E-2</v>
      </c>
      <c r="Q8" s="135">
        <v>4.3</v>
      </c>
      <c r="R8" s="137">
        <v>0.32300000000000001</v>
      </c>
      <c r="S8" s="185">
        <v>1.3599999999999999E-2</v>
      </c>
      <c r="T8" s="138">
        <v>2.1</v>
      </c>
      <c r="U8" s="137">
        <v>0.33100000000000002</v>
      </c>
      <c r="V8" s="186">
        <v>1.0999999999999999E-2</v>
      </c>
      <c r="W8" s="135">
        <v>3.7</v>
      </c>
      <c r="X8" s="137">
        <v>0.35399999999999998</v>
      </c>
      <c r="Y8" s="185">
        <v>3.5000000000000001E-3</v>
      </c>
      <c r="Z8" s="138">
        <v>2</v>
      </c>
      <c r="AA8" s="137">
        <v>0.33700000000000002</v>
      </c>
      <c r="AB8" s="186">
        <v>1.4800000000000001E-2</v>
      </c>
      <c r="AC8" s="135">
        <v>1.6</v>
      </c>
      <c r="AD8" s="137">
        <v>0.35699999999999998</v>
      </c>
      <c r="AE8" s="185">
        <v>1.15E-2</v>
      </c>
      <c r="AF8" s="138">
        <v>1.1000000000000001</v>
      </c>
      <c r="AG8" s="137">
        <v>0.34200000000000003</v>
      </c>
      <c r="AH8" s="186">
        <v>1.6E-2</v>
      </c>
      <c r="AI8" s="135">
        <v>1.4</v>
      </c>
      <c r="AJ8" s="137">
        <v>0.33800000000000002</v>
      </c>
      <c r="AK8" s="185">
        <v>4.0000000000000002E-4</v>
      </c>
    </row>
    <row r="9" spans="1:37" x14ac:dyDescent="0.35">
      <c r="A9" s="56"/>
      <c r="B9" s="135">
        <v>3.5</v>
      </c>
      <c r="C9" s="47">
        <v>0.45100000000000001</v>
      </c>
      <c r="D9" s="186">
        <v>2.7300000000000001E-2</v>
      </c>
      <c r="E9" s="135">
        <v>1.7</v>
      </c>
      <c r="F9" s="137">
        <v>0.46500000000000002</v>
      </c>
      <c r="G9" s="185">
        <v>1.8599999999999998E-2</v>
      </c>
      <c r="H9" s="138">
        <v>2.6</v>
      </c>
      <c r="I9" s="137">
        <v>0.45700000000000002</v>
      </c>
      <c r="J9" s="186">
        <v>2.5999999999999999E-3</v>
      </c>
      <c r="K9" s="135">
        <v>3.9</v>
      </c>
      <c r="L9" s="137">
        <v>0.45600000000000002</v>
      </c>
      <c r="M9" s="185">
        <v>2.1299999999999999E-2</v>
      </c>
      <c r="N9" s="138">
        <v>4</v>
      </c>
      <c r="O9" s="137">
        <v>0.46</v>
      </c>
      <c r="P9" s="186">
        <v>2.64E-2</v>
      </c>
      <c r="Q9" s="135">
        <v>4.4000000000000004</v>
      </c>
      <c r="R9" s="137">
        <v>0.45200000000000001</v>
      </c>
      <c r="S9" s="185">
        <v>2.1399999999999999E-2</v>
      </c>
      <c r="T9" s="138">
        <v>2.2999999999999998</v>
      </c>
      <c r="U9" s="137">
        <v>0.437</v>
      </c>
      <c r="V9" s="186">
        <v>1.7600000000000001E-2</v>
      </c>
      <c r="W9" s="135">
        <v>3.9</v>
      </c>
      <c r="X9" s="137">
        <v>0.45900000000000002</v>
      </c>
      <c r="Y9" s="185">
        <v>1.9900000000000001E-2</v>
      </c>
      <c r="Z9" s="138">
        <v>2.4</v>
      </c>
      <c r="AA9" s="137">
        <v>0.46300000000000002</v>
      </c>
      <c r="AB9" s="186">
        <v>1.5699999999999999E-2</v>
      </c>
      <c r="AC9" s="135">
        <v>1.9</v>
      </c>
      <c r="AD9" s="137">
        <v>0.46100000000000002</v>
      </c>
      <c r="AE9" s="185">
        <v>2.2100000000000002E-2</v>
      </c>
      <c r="AF9" s="138">
        <v>1.3</v>
      </c>
      <c r="AG9" s="137">
        <v>0.46300000000000002</v>
      </c>
      <c r="AH9" s="186">
        <v>2.4400000000000002E-2</v>
      </c>
      <c r="AI9" s="135">
        <v>1.5</v>
      </c>
      <c r="AJ9" s="137">
        <v>0.442</v>
      </c>
      <c r="AK9" s="185">
        <v>8.6999999999999994E-3</v>
      </c>
    </row>
    <row r="10" spans="1:37" x14ac:dyDescent="0.35">
      <c r="A10" s="56"/>
      <c r="B10" s="135">
        <v>3.8</v>
      </c>
      <c r="C10" s="47">
        <v>0.55700000000000005</v>
      </c>
      <c r="D10" s="186">
        <v>3.1E-2</v>
      </c>
      <c r="E10" s="135">
        <v>2</v>
      </c>
      <c r="F10" s="137">
        <v>0.57599999999999996</v>
      </c>
      <c r="G10" s="185">
        <v>2.3099999999999999E-2</v>
      </c>
      <c r="H10" s="138">
        <v>2.8</v>
      </c>
      <c r="I10" s="137">
        <v>0.56999999999999995</v>
      </c>
      <c r="J10" s="186">
        <v>1.44E-2</v>
      </c>
      <c r="K10" s="135">
        <v>4.0999999999999996</v>
      </c>
      <c r="L10" s="137">
        <v>0.59299999999999997</v>
      </c>
      <c r="M10" s="185">
        <v>2.52E-2</v>
      </c>
      <c r="N10" s="138">
        <v>4.2</v>
      </c>
      <c r="O10" s="137">
        <v>0.57299999999999995</v>
      </c>
      <c r="P10" s="186">
        <v>1.7600000000000001E-2</v>
      </c>
      <c r="Q10" s="135">
        <v>4.7</v>
      </c>
      <c r="R10" s="137">
        <v>0.58099999999999996</v>
      </c>
      <c r="S10" s="185">
        <v>2.4E-2</v>
      </c>
      <c r="T10" s="138">
        <v>2.5</v>
      </c>
      <c r="U10" s="137">
        <v>0.54900000000000004</v>
      </c>
      <c r="V10" s="186">
        <v>1.9300000000000001E-2</v>
      </c>
      <c r="W10" s="135">
        <v>4</v>
      </c>
      <c r="X10" s="137">
        <v>0.57999999999999996</v>
      </c>
      <c r="Y10" s="185">
        <v>2.5600000000000001E-2</v>
      </c>
      <c r="Z10" s="138">
        <v>2.5</v>
      </c>
      <c r="AA10" s="137">
        <v>0.57099999999999995</v>
      </c>
      <c r="AB10" s="186">
        <v>2.1399999999999999E-2</v>
      </c>
      <c r="AC10" s="135">
        <v>2.1</v>
      </c>
      <c r="AD10" s="137">
        <v>0.56799999999999995</v>
      </c>
      <c r="AE10" s="185">
        <v>1.46E-2</v>
      </c>
      <c r="AF10" s="138">
        <v>1.5</v>
      </c>
      <c r="AG10" s="137">
        <v>0.57399999999999995</v>
      </c>
      <c r="AH10" s="186">
        <v>3.2399999999999998E-2</v>
      </c>
      <c r="AI10" s="135">
        <v>1.8</v>
      </c>
      <c r="AJ10" s="137">
        <v>0.56100000000000005</v>
      </c>
      <c r="AK10" s="185">
        <v>1.66E-2</v>
      </c>
    </row>
    <row r="11" spans="1:37" x14ac:dyDescent="0.35">
      <c r="A11" s="56"/>
      <c r="B11" s="135">
        <v>4</v>
      </c>
      <c r="C11" s="47">
        <v>0.67200000000000004</v>
      </c>
      <c r="D11" s="186">
        <v>3.5700000000000003E-2</v>
      </c>
      <c r="E11" s="135">
        <v>2.2000000000000002</v>
      </c>
      <c r="F11" s="137">
        <v>0.68</v>
      </c>
      <c r="G11" s="185">
        <v>2.35E-2</v>
      </c>
      <c r="H11" s="138">
        <v>3</v>
      </c>
      <c r="I11" s="137">
        <v>0.67700000000000005</v>
      </c>
      <c r="J11" s="186">
        <v>1.7899999999999999E-2</v>
      </c>
      <c r="K11" s="135">
        <v>4.3</v>
      </c>
      <c r="L11" s="137">
        <v>0.70599999999999996</v>
      </c>
      <c r="M11" s="185">
        <v>3.3500000000000002E-2</v>
      </c>
      <c r="N11" s="138">
        <v>4.4000000000000004</v>
      </c>
      <c r="O11" s="137">
        <v>0.71099999999999997</v>
      </c>
      <c r="P11" s="186">
        <v>3.56E-2</v>
      </c>
      <c r="Q11" s="135">
        <v>4.8</v>
      </c>
      <c r="R11" s="137">
        <v>0.69599999999999995</v>
      </c>
      <c r="S11" s="185">
        <v>3.0599999999999999E-2</v>
      </c>
      <c r="T11" s="138">
        <v>2.6</v>
      </c>
      <c r="U11" s="137">
        <v>0.65700000000000003</v>
      </c>
      <c r="V11" s="186">
        <v>2.3699999999999999E-2</v>
      </c>
      <c r="W11" s="135">
        <v>4.3</v>
      </c>
      <c r="X11" s="137">
        <v>0.69799999999999995</v>
      </c>
      <c r="Y11" s="185">
        <v>2.92E-2</v>
      </c>
      <c r="Z11" s="138">
        <v>2.7</v>
      </c>
      <c r="AA11" s="137">
        <v>0.67700000000000005</v>
      </c>
      <c r="AB11" s="186">
        <v>2.7E-2</v>
      </c>
      <c r="AC11" s="135">
        <v>2.2999999999999998</v>
      </c>
      <c r="AD11" s="137">
        <v>0.68200000000000005</v>
      </c>
      <c r="AE11" s="185">
        <v>1.8499999999999999E-2</v>
      </c>
      <c r="AF11" s="138">
        <v>1.7</v>
      </c>
      <c r="AG11" s="137">
        <v>0.67900000000000005</v>
      </c>
      <c r="AH11" s="186">
        <v>2.8799999999999999E-2</v>
      </c>
      <c r="AI11" s="135">
        <v>2</v>
      </c>
      <c r="AJ11" s="137">
        <v>0.68899999999999995</v>
      </c>
      <c r="AK11" s="185">
        <v>0.02</v>
      </c>
    </row>
    <row r="12" spans="1:37" x14ac:dyDescent="0.35">
      <c r="A12" s="56"/>
      <c r="B12" s="135">
        <v>4.2</v>
      </c>
      <c r="C12" s="47">
        <v>0.77300000000000002</v>
      </c>
      <c r="D12" s="186">
        <v>3.8199999999999998E-2</v>
      </c>
      <c r="E12" s="135">
        <v>2.4</v>
      </c>
      <c r="F12" s="137">
        <v>0.78500000000000003</v>
      </c>
      <c r="G12" s="185">
        <v>3.0200000000000001E-2</v>
      </c>
      <c r="H12" s="138">
        <v>3.2</v>
      </c>
      <c r="I12" s="137">
        <v>0.79900000000000004</v>
      </c>
      <c r="J12" s="186">
        <v>2.01E-2</v>
      </c>
      <c r="K12" s="135">
        <v>4.4000000000000004</v>
      </c>
      <c r="L12" s="137">
        <v>0.82699999999999996</v>
      </c>
      <c r="M12" s="185">
        <v>3.3099999999999997E-2</v>
      </c>
      <c r="N12" s="138">
        <v>4.7</v>
      </c>
      <c r="O12" s="137">
        <v>0.84599999999999997</v>
      </c>
      <c r="P12" s="186">
        <v>3.1600000000000003E-2</v>
      </c>
      <c r="Q12" s="135">
        <v>5.0999999999999996</v>
      </c>
      <c r="R12" s="137">
        <v>0.81100000000000005</v>
      </c>
      <c r="S12" s="185">
        <v>2.6200000000000001E-2</v>
      </c>
      <c r="T12" s="138">
        <v>2.8</v>
      </c>
      <c r="U12" s="137">
        <v>0.76200000000000001</v>
      </c>
      <c r="V12" s="186">
        <v>2.24E-2</v>
      </c>
      <c r="W12" s="135">
        <v>4.5</v>
      </c>
      <c r="X12" s="137">
        <v>0.80900000000000005</v>
      </c>
      <c r="Y12" s="185">
        <v>3.4500000000000003E-2</v>
      </c>
      <c r="Z12" s="138">
        <v>2.9</v>
      </c>
      <c r="AA12" s="137">
        <v>0.79</v>
      </c>
      <c r="AB12" s="186">
        <v>2.75E-2</v>
      </c>
      <c r="AC12" s="135">
        <v>2.4</v>
      </c>
      <c r="AD12" s="137">
        <v>0.80200000000000005</v>
      </c>
      <c r="AE12" s="185">
        <v>3.44E-2</v>
      </c>
      <c r="AF12" s="138">
        <v>1.9</v>
      </c>
      <c r="AG12" s="137">
        <v>0.80500000000000005</v>
      </c>
      <c r="AH12" s="186">
        <v>3.5000000000000003E-2</v>
      </c>
      <c r="AI12" s="135">
        <v>2.2999999999999998</v>
      </c>
      <c r="AJ12" s="137">
        <v>0.80800000000000005</v>
      </c>
      <c r="AK12" s="185">
        <v>2.0500000000000001E-2</v>
      </c>
    </row>
    <row r="13" spans="1:37" x14ac:dyDescent="0.35">
      <c r="A13" s="56"/>
      <c r="B13" s="135">
        <v>4.4000000000000004</v>
      </c>
      <c r="C13" s="47">
        <v>0.91100000000000003</v>
      </c>
      <c r="D13" s="186">
        <v>4.3999999999999997E-2</v>
      </c>
      <c r="E13" s="135">
        <v>2.5</v>
      </c>
      <c r="F13" s="137">
        <v>0.89600000000000002</v>
      </c>
      <c r="G13" s="185">
        <v>4.2200000000000001E-2</v>
      </c>
      <c r="H13" s="138">
        <v>3.4</v>
      </c>
      <c r="I13" s="137">
        <v>0.90300000000000002</v>
      </c>
      <c r="J13" s="186">
        <v>1.44E-2</v>
      </c>
      <c r="K13" s="135">
        <v>4.5999999999999996</v>
      </c>
      <c r="L13" s="137">
        <v>0.96</v>
      </c>
      <c r="M13" s="185">
        <v>3.6999999999999998E-2</v>
      </c>
      <c r="N13" s="138">
        <v>4.9000000000000004</v>
      </c>
      <c r="O13" s="137">
        <v>0.98</v>
      </c>
      <c r="P13" s="186">
        <v>3.6499999999999998E-2</v>
      </c>
      <c r="Q13" s="135">
        <v>5.3</v>
      </c>
      <c r="R13" s="137">
        <v>0.92900000000000005</v>
      </c>
      <c r="S13" s="185">
        <v>4.4200000000000003E-2</v>
      </c>
      <c r="T13" s="138">
        <v>3</v>
      </c>
      <c r="U13" s="137">
        <v>0.86299999999999999</v>
      </c>
      <c r="V13" s="186">
        <v>2.4199999999999999E-2</v>
      </c>
      <c r="W13" s="135">
        <v>4.5999999999999996</v>
      </c>
      <c r="X13" s="137">
        <v>0.91100000000000003</v>
      </c>
      <c r="Y13" s="185">
        <v>3.49E-2</v>
      </c>
      <c r="Z13" s="138">
        <v>3.1</v>
      </c>
      <c r="AA13" s="137">
        <v>0.89500000000000002</v>
      </c>
      <c r="AB13" s="186">
        <v>2.8799999999999999E-2</v>
      </c>
      <c r="AC13" s="135">
        <v>2.6</v>
      </c>
      <c r="AD13" s="137">
        <v>0.91</v>
      </c>
      <c r="AE13" s="185">
        <v>3.9300000000000002E-2</v>
      </c>
      <c r="AF13" s="138">
        <v>2.1</v>
      </c>
      <c r="AG13" s="137">
        <v>0.91</v>
      </c>
      <c r="AH13" s="186">
        <v>3.5900000000000001E-2</v>
      </c>
      <c r="AI13" s="135">
        <v>2.4</v>
      </c>
      <c r="AJ13" s="137">
        <v>0.91500000000000004</v>
      </c>
      <c r="AK13" s="185">
        <v>2.5700000000000001E-2</v>
      </c>
    </row>
    <row r="14" spans="1:37" x14ac:dyDescent="0.35">
      <c r="A14" s="56"/>
      <c r="B14" s="135">
        <v>4.8</v>
      </c>
      <c r="C14" s="47">
        <v>1.0289999999999999</v>
      </c>
      <c r="D14" s="186">
        <v>4.7800000000000002E-2</v>
      </c>
      <c r="E14" s="135">
        <v>2.8</v>
      </c>
      <c r="F14" s="137">
        <v>1.0149999999999999</v>
      </c>
      <c r="G14" s="185">
        <v>4.3999999999999997E-2</v>
      </c>
      <c r="H14" s="138">
        <v>3.6</v>
      </c>
      <c r="I14" s="137">
        <v>1.0209999999999999</v>
      </c>
      <c r="J14" s="186">
        <v>1.7899999999999999E-2</v>
      </c>
      <c r="K14" s="135">
        <v>4.8</v>
      </c>
      <c r="L14" s="137">
        <v>1.0620000000000001</v>
      </c>
      <c r="M14" s="185">
        <v>4.7399999999999998E-2</v>
      </c>
      <c r="N14" s="138">
        <v>5.0999999999999996</v>
      </c>
      <c r="O14" s="137">
        <v>1.0820000000000001</v>
      </c>
      <c r="P14" s="186">
        <v>4.7899999999999998E-2</v>
      </c>
      <c r="Q14" s="135">
        <v>5.4</v>
      </c>
      <c r="R14" s="137">
        <v>1.036</v>
      </c>
      <c r="S14" s="185">
        <v>4.07E-2</v>
      </c>
      <c r="T14" s="138">
        <v>3.2</v>
      </c>
      <c r="U14" s="137">
        <v>0.98199999999999998</v>
      </c>
      <c r="V14" s="186">
        <v>4.0399999999999998E-2</v>
      </c>
      <c r="W14" s="135">
        <v>4.9000000000000004</v>
      </c>
      <c r="X14" s="137">
        <v>1.0309999999999999</v>
      </c>
      <c r="Y14" s="185">
        <v>3.7600000000000001E-2</v>
      </c>
      <c r="Z14" s="138">
        <v>3.5</v>
      </c>
      <c r="AA14" s="137">
        <v>0.995</v>
      </c>
      <c r="AB14" s="186">
        <v>3.1399999999999997E-2</v>
      </c>
      <c r="AC14" s="135">
        <v>2.9</v>
      </c>
      <c r="AD14" s="137">
        <v>1.0209999999999999</v>
      </c>
      <c r="AE14" s="185">
        <v>3.5299999999999998E-2</v>
      </c>
      <c r="AF14" s="138">
        <v>2.2999999999999998</v>
      </c>
      <c r="AG14" s="137">
        <v>1.02</v>
      </c>
      <c r="AH14" s="186">
        <v>3.6400000000000002E-2</v>
      </c>
      <c r="AI14" s="135">
        <v>2.7</v>
      </c>
      <c r="AJ14" s="137">
        <v>1.0249999999999999</v>
      </c>
      <c r="AK14" s="185">
        <v>2.7E-2</v>
      </c>
    </row>
    <row r="15" spans="1:37" x14ac:dyDescent="0.35">
      <c r="A15" s="56"/>
      <c r="B15" s="135">
        <v>9.5</v>
      </c>
      <c r="C15" s="47">
        <v>1.1339999999999999</v>
      </c>
      <c r="D15" s="186">
        <v>4.9500000000000002E-2</v>
      </c>
      <c r="E15" s="135">
        <v>3.5</v>
      </c>
      <c r="F15" s="137">
        <v>1.1160000000000001</v>
      </c>
      <c r="G15" s="185">
        <v>4.48E-2</v>
      </c>
      <c r="H15" s="138">
        <v>4.3</v>
      </c>
      <c r="I15" s="137">
        <v>1.125</v>
      </c>
      <c r="J15" s="186">
        <v>2.4500000000000001E-2</v>
      </c>
      <c r="K15" s="135">
        <v>5.5</v>
      </c>
      <c r="L15" s="137">
        <v>1.173</v>
      </c>
      <c r="M15" s="185">
        <v>5.4800000000000001E-2</v>
      </c>
      <c r="N15" s="138">
        <v>5.8</v>
      </c>
      <c r="O15" s="137">
        <v>1.1830000000000001</v>
      </c>
      <c r="P15" s="186">
        <v>5.0500000000000003E-2</v>
      </c>
      <c r="Q15" s="135">
        <v>8.8000000000000007</v>
      </c>
      <c r="R15" s="137">
        <v>1.1479999999999999</v>
      </c>
      <c r="S15" s="185">
        <v>3.1899999999999998E-2</v>
      </c>
      <c r="T15" s="138">
        <v>3.6</v>
      </c>
      <c r="U15" s="137">
        <v>1.097</v>
      </c>
      <c r="V15" s="186">
        <v>4.3499999999999997E-2</v>
      </c>
      <c r="W15" s="135">
        <v>8.1</v>
      </c>
      <c r="X15" s="137">
        <v>1.1319999999999999</v>
      </c>
      <c r="Y15" s="185">
        <v>4.3299999999999998E-2</v>
      </c>
      <c r="Z15" s="138">
        <v>4.5</v>
      </c>
      <c r="AA15" s="137">
        <v>1.0980000000000001</v>
      </c>
      <c r="AB15" s="186">
        <v>3.8399999999999997E-2</v>
      </c>
      <c r="AC15" s="135">
        <v>6.9</v>
      </c>
      <c r="AD15" s="137">
        <v>1.1259999999999999</v>
      </c>
      <c r="AE15" s="185">
        <v>4.0599999999999997E-2</v>
      </c>
      <c r="AF15" s="138">
        <v>5.8</v>
      </c>
      <c r="AG15" s="137">
        <v>1.1220000000000001</v>
      </c>
      <c r="AH15" s="186">
        <v>4.3499999999999997E-2</v>
      </c>
      <c r="AI15" s="135">
        <v>6.3</v>
      </c>
      <c r="AJ15" s="137">
        <v>1.1359999999999999</v>
      </c>
      <c r="AK15" s="185">
        <v>3.6200000000000003E-2</v>
      </c>
    </row>
    <row r="16" spans="1:37" x14ac:dyDescent="0.35">
      <c r="A16" s="56"/>
      <c r="B16" s="135">
        <v>9.9</v>
      </c>
      <c r="C16" s="47">
        <v>1.252</v>
      </c>
      <c r="D16" s="186">
        <v>4.9099999999999998E-2</v>
      </c>
      <c r="E16" s="135">
        <v>7.9</v>
      </c>
      <c r="F16" s="137">
        <v>1.2270000000000001</v>
      </c>
      <c r="G16" s="185">
        <v>3.6400000000000002E-2</v>
      </c>
      <c r="H16" s="138">
        <v>7.5</v>
      </c>
      <c r="I16" s="137">
        <v>1.2270000000000001</v>
      </c>
      <c r="J16" s="186">
        <v>4.02E-2</v>
      </c>
      <c r="K16" s="135">
        <v>8.6</v>
      </c>
      <c r="L16" s="137">
        <v>1.2809999999999999</v>
      </c>
      <c r="M16" s="185">
        <v>5.1799999999999999E-2</v>
      </c>
      <c r="N16" s="138">
        <v>9.5</v>
      </c>
      <c r="O16" s="137">
        <v>1.294</v>
      </c>
      <c r="P16" s="186">
        <v>4.5699999999999998E-2</v>
      </c>
      <c r="Q16" s="135">
        <v>9.1999999999999993</v>
      </c>
      <c r="R16" s="137">
        <v>1.264</v>
      </c>
      <c r="S16" s="185">
        <v>3.85E-2</v>
      </c>
      <c r="T16" s="138">
        <v>7.6</v>
      </c>
      <c r="U16" s="137">
        <v>1.2010000000000001</v>
      </c>
      <c r="V16" s="186">
        <v>4.2200000000000001E-2</v>
      </c>
      <c r="W16" s="135">
        <v>8.8000000000000007</v>
      </c>
      <c r="X16" s="137">
        <v>1.2450000000000001</v>
      </c>
      <c r="Y16" s="185">
        <v>4.4200000000000003E-2</v>
      </c>
      <c r="Z16" s="138">
        <v>8.5</v>
      </c>
      <c r="AA16" s="137">
        <v>1.1990000000000001</v>
      </c>
      <c r="AB16" s="186">
        <v>4.6199999999999998E-2</v>
      </c>
      <c r="AC16" s="135">
        <v>7.3</v>
      </c>
      <c r="AD16" s="137">
        <v>1.25</v>
      </c>
      <c r="AE16" s="185">
        <v>4.99E-2</v>
      </c>
      <c r="AF16" s="138">
        <v>6.3</v>
      </c>
      <c r="AG16" s="137">
        <v>1.23</v>
      </c>
      <c r="AH16" s="186">
        <v>4.3499999999999997E-2</v>
      </c>
      <c r="AI16" s="135">
        <v>7.2</v>
      </c>
      <c r="AJ16" s="137">
        <v>1.2450000000000001</v>
      </c>
      <c r="AK16" s="185">
        <v>4.1000000000000002E-2</v>
      </c>
    </row>
    <row r="17" spans="1:37" x14ac:dyDescent="0.35">
      <c r="A17" s="56"/>
      <c r="B17" s="135">
        <v>10.3</v>
      </c>
      <c r="C17" s="47">
        <v>1.361</v>
      </c>
      <c r="D17" s="186">
        <v>5.62E-2</v>
      </c>
      <c r="E17" s="135">
        <v>8.3000000000000007</v>
      </c>
      <c r="F17" s="137">
        <v>1.353</v>
      </c>
      <c r="G17" s="185">
        <v>4.1700000000000001E-2</v>
      </c>
      <c r="H17" s="138">
        <v>8</v>
      </c>
      <c r="I17" s="137">
        <v>1.341</v>
      </c>
      <c r="J17" s="186">
        <v>2.8400000000000002E-2</v>
      </c>
      <c r="K17" s="135">
        <v>9.1</v>
      </c>
      <c r="L17" s="137">
        <v>1.3919999999999999</v>
      </c>
      <c r="M17" s="185">
        <v>6.3500000000000001E-2</v>
      </c>
      <c r="N17" s="138">
        <v>9.8000000000000007</v>
      </c>
      <c r="O17" s="137">
        <v>1.3979999999999999</v>
      </c>
      <c r="P17" s="186">
        <v>4.7899999999999998E-2</v>
      </c>
      <c r="Q17" s="135">
        <v>9.4</v>
      </c>
      <c r="R17" s="137">
        <v>1.381</v>
      </c>
      <c r="S17" s="185">
        <v>5.5500000000000001E-2</v>
      </c>
      <c r="T17" s="138">
        <v>8.4</v>
      </c>
      <c r="U17" s="137">
        <v>1.3049999999999999</v>
      </c>
      <c r="V17" s="186">
        <v>4.4400000000000002E-2</v>
      </c>
      <c r="W17" s="135">
        <v>9.1</v>
      </c>
      <c r="X17" s="137">
        <v>1.3520000000000001</v>
      </c>
      <c r="Y17" s="185">
        <v>4.6399999999999997E-2</v>
      </c>
      <c r="Z17" s="138">
        <v>8.9</v>
      </c>
      <c r="AA17" s="137">
        <v>1.304</v>
      </c>
      <c r="AB17" s="186">
        <v>4.0599999999999997E-2</v>
      </c>
      <c r="AC17" s="135">
        <v>7.6</v>
      </c>
      <c r="AD17" s="137">
        <v>1.3540000000000001</v>
      </c>
      <c r="AE17" s="185">
        <v>5.5199999999999999E-2</v>
      </c>
      <c r="AF17" s="138">
        <v>6.6</v>
      </c>
      <c r="AG17" s="137">
        <v>1.3480000000000001</v>
      </c>
      <c r="AH17" s="186">
        <v>4.8800000000000003E-2</v>
      </c>
      <c r="AI17" s="135">
        <v>7.4</v>
      </c>
      <c r="AJ17" s="137">
        <v>1.3460000000000001</v>
      </c>
      <c r="AK17" s="185">
        <v>3.9699999999999999E-2</v>
      </c>
    </row>
    <row r="18" spans="1:37" x14ac:dyDescent="0.35">
      <c r="A18" s="56"/>
      <c r="B18" s="135">
        <v>10.6</v>
      </c>
      <c r="C18" s="47">
        <v>1.466</v>
      </c>
      <c r="D18" s="186">
        <v>6.25E-2</v>
      </c>
      <c r="E18" s="135">
        <v>8.6</v>
      </c>
      <c r="F18" s="137">
        <v>1.472</v>
      </c>
      <c r="G18" s="185">
        <v>5.28E-2</v>
      </c>
      <c r="H18" s="138">
        <v>8.3000000000000007</v>
      </c>
      <c r="I18" s="137">
        <v>1.4550000000000001</v>
      </c>
      <c r="J18" s="186">
        <v>3.4099999999999998E-2</v>
      </c>
      <c r="K18" s="135">
        <v>9.3000000000000007</v>
      </c>
      <c r="L18" s="137">
        <v>1.498</v>
      </c>
      <c r="M18" s="185">
        <v>6.8699999999999997E-2</v>
      </c>
      <c r="N18" s="138">
        <v>10.1</v>
      </c>
      <c r="O18" s="137">
        <v>1.5089999999999999</v>
      </c>
      <c r="P18" s="186">
        <v>6.2399999999999997E-2</v>
      </c>
      <c r="Q18" s="135">
        <v>9.6999999999999993</v>
      </c>
      <c r="R18" s="137">
        <v>1.4890000000000001</v>
      </c>
      <c r="S18" s="185">
        <v>5.33E-2</v>
      </c>
      <c r="T18" s="138">
        <v>8.8000000000000007</v>
      </c>
      <c r="U18" s="137">
        <v>1.405</v>
      </c>
      <c r="V18" s="186">
        <v>5.8900000000000001E-2</v>
      </c>
      <c r="W18" s="135">
        <v>9.4</v>
      </c>
      <c r="X18" s="137">
        <v>1.466</v>
      </c>
      <c r="Y18" s="185">
        <v>5.9700000000000003E-2</v>
      </c>
      <c r="Z18" s="138">
        <v>9.3000000000000007</v>
      </c>
      <c r="AA18" s="137">
        <v>1.4059999999999999</v>
      </c>
      <c r="AB18" s="186">
        <v>4.19E-2</v>
      </c>
      <c r="AC18" s="135">
        <v>8</v>
      </c>
      <c r="AD18" s="137">
        <v>1.46</v>
      </c>
      <c r="AE18" s="185">
        <v>5.2999999999999999E-2</v>
      </c>
      <c r="AF18" s="138">
        <v>6.9</v>
      </c>
      <c r="AG18" s="137">
        <v>1.452</v>
      </c>
      <c r="AH18" s="186">
        <v>5.5E-2</v>
      </c>
      <c r="AI18" s="135">
        <v>7.7</v>
      </c>
      <c r="AJ18" s="137">
        <v>1.486</v>
      </c>
      <c r="AK18" s="185">
        <v>4.6600000000000003E-2</v>
      </c>
    </row>
    <row r="19" spans="1:37" x14ac:dyDescent="0.35">
      <c r="A19" s="56"/>
      <c r="B19" s="135">
        <v>10.9</v>
      </c>
      <c r="C19" s="47">
        <v>1.583</v>
      </c>
      <c r="D19" s="186">
        <v>6.4600000000000005E-2</v>
      </c>
      <c r="E19" s="135">
        <v>8.8000000000000007</v>
      </c>
      <c r="F19" s="137">
        <v>1.581</v>
      </c>
      <c r="G19" s="185">
        <v>5.5899999999999998E-2</v>
      </c>
      <c r="H19" s="138">
        <v>8.6</v>
      </c>
      <c r="I19" s="137">
        <v>1.57</v>
      </c>
      <c r="J19" s="186">
        <v>4.02E-2</v>
      </c>
      <c r="K19" s="135">
        <v>9.5</v>
      </c>
      <c r="L19" s="137">
        <v>1.617</v>
      </c>
      <c r="M19" s="185">
        <v>7.0099999999999996E-2</v>
      </c>
      <c r="N19" s="138">
        <v>10.4</v>
      </c>
      <c r="O19" s="137">
        <v>1.61</v>
      </c>
      <c r="P19" s="186">
        <v>6.5000000000000002E-2</v>
      </c>
      <c r="Q19" s="135">
        <v>9.9</v>
      </c>
      <c r="R19" s="137">
        <v>1.5980000000000001</v>
      </c>
      <c r="S19" s="185">
        <v>6.2100000000000002E-2</v>
      </c>
      <c r="T19" s="138">
        <v>9.1</v>
      </c>
      <c r="U19" s="137">
        <v>1.5049999999999999</v>
      </c>
      <c r="V19" s="186">
        <v>6.0600000000000001E-2</v>
      </c>
      <c r="W19" s="135">
        <v>9.6</v>
      </c>
      <c r="X19" s="137">
        <v>1.5760000000000001</v>
      </c>
      <c r="Y19" s="185">
        <v>5.7500000000000002E-2</v>
      </c>
      <c r="Z19" s="138">
        <v>9.6</v>
      </c>
      <c r="AA19" s="137">
        <v>1.522</v>
      </c>
      <c r="AB19" s="186">
        <v>5.2299999999999999E-2</v>
      </c>
      <c r="AC19" s="135">
        <v>8.3000000000000007</v>
      </c>
      <c r="AD19" s="137">
        <v>1.577</v>
      </c>
      <c r="AE19" s="185">
        <v>5.9200000000000003E-2</v>
      </c>
      <c r="AF19" s="138">
        <v>7.2</v>
      </c>
      <c r="AG19" s="137">
        <v>1.5640000000000001</v>
      </c>
      <c r="AH19" s="186">
        <v>6.1199999999999997E-2</v>
      </c>
      <c r="AI19" s="135">
        <v>7.9</v>
      </c>
      <c r="AJ19" s="137">
        <v>1.587</v>
      </c>
      <c r="AK19" s="185">
        <v>5.7500000000000002E-2</v>
      </c>
    </row>
    <row r="20" spans="1:37" x14ac:dyDescent="0.35">
      <c r="A20" s="56"/>
      <c r="B20" s="135">
        <v>11.1</v>
      </c>
      <c r="C20" s="47">
        <v>1.6970000000000001</v>
      </c>
      <c r="D20" s="186">
        <v>6.3299999999999995E-2</v>
      </c>
      <c r="E20" s="135">
        <v>9</v>
      </c>
      <c r="F20" s="137">
        <v>1.7110000000000001</v>
      </c>
      <c r="G20" s="185">
        <v>5.4199999999999998E-2</v>
      </c>
      <c r="H20" s="138">
        <v>8.9</v>
      </c>
      <c r="I20" s="137">
        <v>1.679</v>
      </c>
      <c r="J20" s="186">
        <v>6.1699999999999998E-2</v>
      </c>
      <c r="K20" s="135">
        <v>9.6999999999999993</v>
      </c>
      <c r="L20" s="137">
        <v>1.73</v>
      </c>
      <c r="M20" s="185">
        <v>7.7899999999999997E-2</v>
      </c>
      <c r="N20" s="138">
        <v>10.7</v>
      </c>
      <c r="O20" s="137">
        <v>1.7130000000000001</v>
      </c>
      <c r="P20" s="186">
        <v>6.4600000000000005E-2</v>
      </c>
      <c r="Q20" s="135">
        <v>10.199999999999999</v>
      </c>
      <c r="R20" s="137">
        <v>1.7270000000000001</v>
      </c>
      <c r="S20" s="185">
        <v>7.0800000000000002E-2</v>
      </c>
      <c r="T20" s="138">
        <v>9.3000000000000007</v>
      </c>
      <c r="U20" s="137">
        <v>1.619</v>
      </c>
      <c r="V20" s="186">
        <v>5.45E-2</v>
      </c>
      <c r="W20" s="135">
        <v>9.9</v>
      </c>
      <c r="X20" s="137">
        <v>1.6819999999999999</v>
      </c>
      <c r="Y20" s="185">
        <v>6.3700000000000007E-2</v>
      </c>
      <c r="Z20" s="138">
        <v>9.8000000000000007</v>
      </c>
      <c r="AA20" s="137">
        <v>1.623</v>
      </c>
      <c r="AB20" s="186">
        <v>6.0600000000000001E-2</v>
      </c>
      <c r="AC20" s="135">
        <v>8.4</v>
      </c>
      <c r="AD20" s="137">
        <v>1.6879999999999999</v>
      </c>
      <c r="AE20" s="185">
        <v>5.7799999999999997E-2</v>
      </c>
      <c r="AF20" s="138">
        <v>7.4</v>
      </c>
      <c r="AG20" s="137">
        <v>1.6879999999999999</v>
      </c>
      <c r="AH20" s="186">
        <v>6.0299999999999999E-2</v>
      </c>
      <c r="AI20" s="135">
        <v>8.1999999999999993</v>
      </c>
      <c r="AJ20" s="137">
        <v>1.6919999999999999</v>
      </c>
      <c r="AK20" s="185">
        <v>6.4100000000000004E-2</v>
      </c>
    </row>
    <row r="21" spans="1:37" x14ac:dyDescent="0.35">
      <c r="A21" s="56"/>
      <c r="B21" s="135">
        <v>11.3</v>
      </c>
      <c r="C21" s="47">
        <v>1.798</v>
      </c>
      <c r="D21" s="186">
        <v>6.9599999999999995E-2</v>
      </c>
      <c r="E21" s="135">
        <v>9.3000000000000007</v>
      </c>
      <c r="F21" s="137">
        <v>1.8180000000000001</v>
      </c>
      <c r="G21" s="185">
        <v>6.2600000000000003E-2</v>
      </c>
      <c r="H21" s="138">
        <v>9.1</v>
      </c>
      <c r="I21" s="137">
        <v>1.784</v>
      </c>
      <c r="J21" s="186">
        <v>6.25E-2</v>
      </c>
      <c r="K21" s="135">
        <v>9.8000000000000007</v>
      </c>
      <c r="L21" s="137">
        <v>1.8440000000000001</v>
      </c>
      <c r="M21" s="185">
        <v>7.6100000000000001E-2</v>
      </c>
      <c r="N21" s="138">
        <v>10.9</v>
      </c>
      <c r="O21" s="137">
        <v>1.8220000000000001</v>
      </c>
      <c r="P21" s="186">
        <v>7.0699999999999999E-2</v>
      </c>
      <c r="Q21" s="135">
        <v>10.4</v>
      </c>
      <c r="R21" s="137">
        <v>1.851</v>
      </c>
      <c r="S21" s="185">
        <v>6.8599999999999994E-2</v>
      </c>
      <c r="T21" s="138">
        <v>9.6</v>
      </c>
      <c r="U21" s="137">
        <v>1.7330000000000001</v>
      </c>
      <c r="V21" s="186">
        <v>6.4600000000000005E-2</v>
      </c>
      <c r="W21" s="135">
        <v>10.1</v>
      </c>
      <c r="X21" s="137">
        <v>1.7929999999999999</v>
      </c>
      <c r="Y21" s="185">
        <v>6.6299999999999998E-2</v>
      </c>
      <c r="Z21" s="138">
        <v>10</v>
      </c>
      <c r="AA21" s="137">
        <v>1.7390000000000001</v>
      </c>
      <c r="AB21" s="186">
        <v>5.7099999999999998E-2</v>
      </c>
      <c r="AC21" s="135">
        <v>8.6</v>
      </c>
      <c r="AD21" s="137">
        <v>1.792</v>
      </c>
      <c r="AE21" s="185">
        <v>6.8400000000000002E-2</v>
      </c>
      <c r="AF21" s="138">
        <v>7.6</v>
      </c>
      <c r="AG21" s="137">
        <v>1.8109999999999999</v>
      </c>
      <c r="AH21" s="186">
        <v>7.5399999999999995E-2</v>
      </c>
      <c r="AI21" s="135">
        <v>8.4</v>
      </c>
      <c r="AJ21" s="137">
        <v>1.8380000000000001</v>
      </c>
      <c r="AK21" s="185">
        <v>6.2300000000000001E-2</v>
      </c>
    </row>
    <row r="22" spans="1:37" x14ac:dyDescent="0.35">
      <c r="A22" s="56"/>
      <c r="B22" s="135">
        <v>11.5</v>
      </c>
      <c r="C22" s="47">
        <v>1.9079999999999999</v>
      </c>
      <c r="D22" s="186">
        <v>7.7200000000000005E-2</v>
      </c>
      <c r="E22" s="135">
        <v>9.6</v>
      </c>
      <c r="F22" s="137">
        <v>1.9410000000000001</v>
      </c>
      <c r="G22" s="185">
        <v>6.5299999999999997E-2</v>
      </c>
      <c r="H22" s="138">
        <v>9.3000000000000007</v>
      </c>
      <c r="I22" s="137">
        <v>1.885</v>
      </c>
      <c r="J22" s="186">
        <v>6.3399999999999998E-2</v>
      </c>
      <c r="K22" s="135">
        <v>10.1</v>
      </c>
      <c r="L22" s="137">
        <v>1.962</v>
      </c>
      <c r="M22" s="185">
        <v>8.8800000000000004E-2</v>
      </c>
      <c r="N22" s="138">
        <v>11.1</v>
      </c>
      <c r="O22" s="137">
        <v>1.925</v>
      </c>
      <c r="P22" s="186">
        <v>7.1199999999999999E-2</v>
      </c>
      <c r="Q22" s="135">
        <v>10.6</v>
      </c>
      <c r="R22" s="137">
        <v>1.9710000000000001</v>
      </c>
      <c r="S22" s="185">
        <v>7.0400000000000004E-2</v>
      </c>
      <c r="T22" s="138">
        <v>9.9</v>
      </c>
      <c r="U22" s="137">
        <v>1.8560000000000001</v>
      </c>
      <c r="V22" s="186">
        <v>7.0800000000000002E-2</v>
      </c>
      <c r="W22" s="135">
        <v>10.4</v>
      </c>
      <c r="X22" s="137">
        <v>1.907</v>
      </c>
      <c r="Y22" s="185">
        <v>7.2099999999999997E-2</v>
      </c>
      <c r="Z22" s="138">
        <v>10.4</v>
      </c>
      <c r="AA22" s="137">
        <v>1.86</v>
      </c>
      <c r="AB22" s="186">
        <v>5.9299999999999999E-2</v>
      </c>
      <c r="AC22" s="135">
        <v>8.9</v>
      </c>
      <c r="AD22" s="137">
        <v>1.8979999999999999</v>
      </c>
      <c r="AE22" s="185">
        <v>6.8900000000000003E-2</v>
      </c>
      <c r="AF22" s="138">
        <v>7.8</v>
      </c>
      <c r="AG22" s="137">
        <v>1.917</v>
      </c>
      <c r="AH22" s="186">
        <v>7.3599999999999999E-2</v>
      </c>
      <c r="AI22" s="135">
        <v>8.6</v>
      </c>
      <c r="AJ22" s="137">
        <v>1.944</v>
      </c>
      <c r="AK22" s="185">
        <v>7.4999999999999997E-2</v>
      </c>
    </row>
    <row r="23" spans="1:37" x14ac:dyDescent="0.35">
      <c r="A23" s="56"/>
      <c r="B23" s="135">
        <v>11.8</v>
      </c>
      <c r="C23" s="47">
        <v>2.0299999999999998</v>
      </c>
      <c r="D23" s="186">
        <v>8.3500000000000005E-2</v>
      </c>
      <c r="E23" s="135">
        <v>9.9</v>
      </c>
      <c r="F23" s="137">
        <v>2.069</v>
      </c>
      <c r="G23" s="185">
        <v>7.2400000000000006E-2</v>
      </c>
      <c r="H23" s="138">
        <v>9.6</v>
      </c>
      <c r="I23" s="137">
        <v>1.9930000000000001</v>
      </c>
      <c r="J23" s="186">
        <v>6.25E-2</v>
      </c>
      <c r="K23" s="135">
        <v>10.3</v>
      </c>
      <c r="L23" s="137">
        <v>2.0630000000000002</v>
      </c>
      <c r="M23" s="185">
        <v>8.7499999999999994E-2</v>
      </c>
      <c r="N23" s="138">
        <v>11.3</v>
      </c>
      <c r="O23" s="137">
        <v>2.0299999999999998</v>
      </c>
      <c r="P23" s="186">
        <v>7.9899999999999999E-2</v>
      </c>
      <c r="Q23" s="135">
        <v>10.8</v>
      </c>
      <c r="R23" s="137">
        <v>2.0790000000000002</v>
      </c>
      <c r="S23" s="185">
        <v>7.7799999999999994E-2</v>
      </c>
      <c r="T23" s="138">
        <v>10.1</v>
      </c>
      <c r="U23" s="137">
        <v>1.96</v>
      </c>
      <c r="V23" s="186">
        <v>7.3400000000000007E-2</v>
      </c>
      <c r="W23" s="135">
        <v>10.5</v>
      </c>
      <c r="X23" s="137">
        <v>2.0179999999999998</v>
      </c>
      <c r="Y23" s="185">
        <v>7.6499999999999999E-2</v>
      </c>
      <c r="Z23" s="138">
        <v>10.6</v>
      </c>
      <c r="AA23" s="137">
        <v>1.9750000000000001</v>
      </c>
      <c r="AB23" s="186">
        <v>7.3700000000000002E-2</v>
      </c>
      <c r="AC23" s="135">
        <v>9.1</v>
      </c>
      <c r="AD23" s="137">
        <v>2.0150000000000001</v>
      </c>
      <c r="AE23" s="185">
        <v>7.1499999999999994E-2</v>
      </c>
      <c r="AF23" s="138">
        <v>8.1</v>
      </c>
      <c r="AG23" s="137">
        <v>2.0339999999999998</v>
      </c>
      <c r="AH23" s="186">
        <v>7.4499999999999997E-2</v>
      </c>
      <c r="AI23" s="135">
        <v>8.8000000000000007</v>
      </c>
      <c r="AJ23" s="137">
        <v>2.056</v>
      </c>
      <c r="AK23" s="185">
        <v>7.6300000000000007E-2</v>
      </c>
    </row>
    <row r="24" spans="1:37" x14ac:dyDescent="0.35">
      <c r="A24" s="56"/>
      <c r="B24" s="135">
        <v>12</v>
      </c>
      <c r="C24" s="47">
        <v>2.1309999999999998</v>
      </c>
      <c r="D24" s="186">
        <v>8.8099999999999998E-2</v>
      </c>
      <c r="E24" s="135">
        <v>10.1</v>
      </c>
      <c r="F24" s="137">
        <v>2.1709999999999998</v>
      </c>
      <c r="G24" s="185">
        <v>7.9000000000000001E-2</v>
      </c>
      <c r="H24" s="138">
        <v>9.8000000000000007</v>
      </c>
      <c r="I24" s="137">
        <v>2.101</v>
      </c>
      <c r="J24" s="186">
        <v>6.4699999999999994E-2</v>
      </c>
      <c r="K24" s="135">
        <v>10.5</v>
      </c>
      <c r="L24" s="137">
        <v>2.17</v>
      </c>
      <c r="M24" s="185">
        <v>9.9599999999999994E-2</v>
      </c>
      <c r="N24" s="138">
        <v>11.5</v>
      </c>
      <c r="O24" s="137">
        <v>2.1339999999999999</v>
      </c>
      <c r="P24" s="186">
        <v>8.43E-2</v>
      </c>
      <c r="Q24" s="135">
        <v>11</v>
      </c>
      <c r="R24" s="137">
        <v>2.19</v>
      </c>
      <c r="S24" s="185">
        <v>8.48E-2</v>
      </c>
      <c r="T24" s="138">
        <v>10.4</v>
      </c>
      <c r="U24" s="137">
        <v>2.085</v>
      </c>
      <c r="V24" s="186">
        <v>8.5300000000000001E-2</v>
      </c>
      <c r="W24" s="135">
        <v>10.7</v>
      </c>
      <c r="X24" s="137">
        <v>2.1219999999999999</v>
      </c>
      <c r="Y24" s="185">
        <v>7.8700000000000006E-2</v>
      </c>
      <c r="Z24" s="138">
        <v>11</v>
      </c>
      <c r="AA24" s="137">
        <v>2.0819999999999999</v>
      </c>
      <c r="AB24" s="186">
        <v>7.6799999999999993E-2</v>
      </c>
      <c r="AC24" s="135">
        <v>9.5</v>
      </c>
      <c r="AD24" s="137">
        <v>2.129</v>
      </c>
      <c r="AE24" s="185">
        <v>8.2500000000000004E-2</v>
      </c>
      <c r="AF24" s="138">
        <v>8.3000000000000007</v>
      </c>
      <c r="AG24" s="137">
        <v>2.1549999999999998</v>
      </c>
      <c r="AH24" s="186">
        <v>8.2500000000000004E-2</v>
      </c>
      <c r="AI24" s="135">
        <v>9</v>
      </c>
      <c r="AJ24" s="137">
        <v>2.181</v>
      </c>
      <c r="AK24" s="185">
        <v>8.4599999999999995E-2</v>
      </c>
    </row>
    <row r="25" spans="1:37" x14ac:dyDescent="0.35">
      <c r="A25" s="56"/>
      <c r="B25" s="135">
        <v>12.3</v>
      </c>
      <c r="C25" s="47">
        <v>2.2509999999999999</v>
      </c>
      <c r="D25" s="186">
        <v>9.7699999999999995E-2</v>
      </c>
      <c r="E25" s="135">
        <v>10.4</v>
      </c>
      <c r="F25" s="137">
        <v>2.294</v>
      </c>
      <c r="G25" s="185">
        <v>8.1699999999999995E-2</v>
      </c>
      <c r="H25" s="138">
        <v>10</v>
      </c>
      <c r="I25" s="137">
        <v>2.21</v>
      </c>
      <c r="J25" s="186">
        <v>6.7299999999999999E-2</v>
      </c>
      <c r="K25" s="135">
        <v>10.7</v>
      </c>
      <c r="L25" s="137">
        <v>2.3090000000000002</v>
      </c>
      <c r="M25" s="185">
        <v>0.1014</v>
      </c>
      <c r="N25" s="138">
        <v>11.8</v>
      </c>
      <c r="O25" s="137">
        <v>2.2559999999999998</v>
      </c>
      <c r="P25" s="186">
        <v>8.7400000000000005E-2</v>
      </c>
      <c r="Q25" s="135">
        <v>11.3</v>
      </c>
      <c r="R25" s="137">
        <v>2.2930000000000001</v>
      </c>
      <c r="S25" s="185">
        <v>8.6999999999999994E-2</v>
      </c>
      <c r="T25" s="138">
        <v>10.6</v>
      </c>
      <c r="U25" s="137">
        <v>2.2010000000000001</v>
      </c>
      <c r="V25" s="186">
        <v>8.3900000000000002E-2</v>
      </c>
      <c r="W25" s="135">
        <v>10.9</v>
      </c>
      <c r="X25" s="137">
        <v>2.238</v>
      </c>
      <c r="Y25" s="185">
        <v>8.6599999999999996E-2</v>
      </c>
      <c r="Z25" s="138">
        <v>11.1</v>
      </c>
      <c r="AA25" s="137">
        <v>2.1850000000000001</v>
      </c>
      <c r="AB25" s="186">
        <v>7.9399999999999998E-2</v>
      </c>
      <c r="AC25" s="135">
        <v>9.8000000000000007</v>
      </c>
      <c r="AD25" s="137">
        <v>2.2519999999999998</v>
      </c>
      <c r="AE25" s="185">
        <v>8.9200000000000002E-2</v>
      </c>
      <c r="AF25" s="138">
        <v>8.5</v>
      </c>
      <c r="AG25" s="137">
        <v>2.2890000000000001</v>
      </c>
      <c r="AH25" s="186">
        <v>8.6499999999999994E-2</v>
      </c>
      <c r="AI25" s="135">
        <v>9.3000000000000007</v>
      </c>
      <c r="AJ25" s="137">
        <v>2.3050000000000002</v>
      </c>
      <c r="AK25" s="185">
        <v>9.0200000000000002E-2</v>
      </c>
    </row>
    <row r="26" spans="1:37" x14ac:dyDescent="0.35">
      <c r="A26" s="56"/>
      <c r="B26" s="135">
        <v>12.4</v>
      </c>
      <c r="C26" s="47">
        <v>2.3530000000000002</v>
      </c>
      <c r="D26" s="186">
        <v>9.69E-2</v>
      </c>
      <c r="E26" s="135">
        <v>10.6</v>
      </c>
      <c r="F26" s="137">
        <v>2.407</v>
      </c>
      <c r="G26" s="185">
        <v>9.2299999999999993E-2</v>
      </c>
      <c r="H26" s="138">
        <v>10.199999999999999</v>
      </c>
      <c r="I26" s="137">
        <v>2.3170000000000002</v>
      </c>
      <c r="J26" s="186">
        <v>7.7399999999999997E-2</v>
      </c>
      <c r="K26" s="135">
        <v>10.9</v>
      </c>
      <c r="L26" s="137">
        <v>2.4540000000000002</v>
      </c>
      <c r="M26" s="185">
        <v>0.1053</v>
      </c>
      <c r="N26" s="138">
        <v>12</v>
      </c>
      <c r="O26" s="137">
        <v>2.3759999999999999</v>
      </c>
      <c r="P26" s="186">
        <v>9.8000000000000004E-2</v>
      </c>
      <c r="Q26" s="135">
        <v>11.5</v>
      </c>
      <c r="R26" s="137">
        <v>2.4209999999999998</v>
      </c>
      <c r="S26" s="185">
        <v>9.3100000000000002E-2</v>
      </c>
      <c r="T26" s="138">
        <v>10.8</v>
      </c>
      <c r="U26" s="137">
        <v>2.3290000000000002</v>
      </c>
      <c r="V26" s="186">
        <v>9.0499999999999997E-2</v>
      </c>
      <c r="W26" s="135">
        <v>11.1</v>
      </c>
      <c r="X26" s="137">
        <v>2.3759999999999999</v>
      </c>
      <c r="Y26" s="185">
        <v>9.4200000000000006E-2</v>
      </c>
      <c r="Z26" s="138">
        <v>11.4</v>
      </c>
      <c r="AA26" s="137">
        <v>2.3250000000000002</v>
      </c>
      <c r="AB26" s="186">
        <v>9.1999999999999998E-2</v>
      </c>
      <c r="AC26" s="135">
        <v>10</v>
      </c>
      <c r="AD26" s="137">
        <v>2.363</v>
      </c>
      <c r="AE26" s="185">
        <v>8.7800000000000003E-2</v>
      </c>
      <c r="AF26" s="138">
        <v>8.6999999999999993</v>
      </c>
      <c r="AG26" s="137">
        <v>2.4020000000000001</v>
      </c>
      <c r="AH26" s="186">
        <v>9.0899999999999995E-2</v>
      </c>
      <c r="AI26" s="135">
        <v>9.5</v>
      </c>
      <c r="AJ26" s="137">
        <v>2.4089999999999998</v>
      </c>
      <c r="AK26" s="185">
        <v>9.5899999999999999E-2</v>
      </c>
    </row>
    <row r="27" spans="1:37" x14ac:dyDescent="0.35">
      <c r="A27" s="56"/>
      <c r="B27" s="135">
        <v>12.6</v>
      </c>
      <c r="C27" s="47">
        <v>2.4670000000000001</v>
      </c>
      <c r="D27" s="186">
        <v>0.1061</v>
      </c>
      <c r="E27" s="135">
        <v>10.9</v>
      </c>
      <c r="F27" s="137">
        <v>2.5169999999999999</v>
      </c>
      <c r="G27" s="185">
        <v>9.3200000000000005E-2</v>
      </c>
      <c r="H27" s="138">
        <v>10.4</v>
      </c>
      <c r="I27" s="137">
        <v>2.4289999999999998</v>
      </c>
      <c r="J27" s="186">
        <v>7.0400000000000004E-2</v>
      </c>
      <c r="K27" s="135">
        <v>11</v>
      </c>
      <c r="L27" s="137">
        <v>2.5750000000000002</v>
      </c>
      <c r="M27" s="185">
        <v>0.1018</v>
      </c>
      <c r="N27" s="138">
        <v>12.2</v>
      </c>
      <c r="O27" s="137">
        <v>2.4830000000000001</v>
      </c>
      <c r="P27" s="186">
        <v>0.105</v>
      </c>
      <c r="Q27" s="135">
        <v>11.7</v>
      </c>
      <c r="R27" s="137">
        <v>2.5310000000000001</v>
      </c>
      <c r="S27" s="185">
        <v>9.8799999999999999E-2</v>
      </c>
      <c r="T27" s="138">
        <v>10.9</v>
      </c>
      <c r="U27" s="137">
        <v>2.4369999999999998</v>
      </c>
      <c r="V27" s="186">
        <v>0.1002</v>
      </c>
      <c r="W27" s="135">
        <v>11.4</v>
      </c>
      <c r="X27" s="137">
        <v>2.492</v>
      </c>
      <c r="Y27" s="185">
        <v>0.1003</v>
      </c>
      <c r="Z27" s="138">
        <v>11.5</v>
      </c>
      <c r="AA27" s="137">
        <v>2.4390000000000001</v>
      </c>
      <c r="AB27" s="186">
        <v>0.1007</v>
      </c>
      <c r="AC27" s="135">
        <v>10.199999999999999</v>
      </c>
      <c r="AD27" s="137">
        <v>2.4780000000000002</v>
      </c>
      <c r="AE27" s="185">
        <v>9.2299999999999993E-2</v>
      </c>
      <c r="AF27" s="138">
        <v>8.9</v>
      </c>
      <c r="AG27" s="137">
        <v>2.5270000000000001</v>
      </c>
      <c r="AH27" s="186">
        <v>9.6199999999999994E-2</v>
      </c>
      <c r="AI27" s="135">
        <v>9.6999999999999993</v>
      </c>
      <c r="AJ27" s="137">
        <v>2.5089999999999999</v>
      </c>
      <c r="AK27" s="185">
        <v>9.8500000000000004E-2</v>
      </c>
    </row>
    <row r="28" spans="1:37" x14ac:dyDescent="0.35">
      <c r="A28" s="56"/>
      <c r="B28" s="135">
        <v>12.9</v>
      </c>
      <c r="C28" s="47">
        <v>2.589</v>
      </c>
      <c r="D28" s="186">
        <v>0.1082</v>
      </c>
      <c r="E28" s="135">
        <v>11</v>
      </c>
      <c r="F28" s="137">
        <v>2.6259999999999999</v>
      </c>
      <c r="G28" s="185">
        <v>0.1012</v>
      </c>
      <c r="H28" s="138">
        <v>10.6</v>
      </c>
      <c r="I28" s="137">
        <v>2.5329999999999999</v>
      </c>
      <c r="J28" s="186">
        <v>7.8700000000000006E-2</v>
      </c>
      <c r="K28" s="135">
        <v>11.3</v>
      </c>
      <c r="L28" s="137">
        <v>2.7010000000000001</v>
      </c>
      <c r="M28" s="185">
        <v>0.1096</v>
      </c>
      <c r="N28" s="138">
        <v>12.4</v>
      </c>
      <c r="O28" s="137">
        <v>2.6040000000000001</v>
      </c>
      <c r="P28" s="186">
        <v>0.10630000000000001</v>
      </c>
      <c r="Q28" s="135">
        <v>11.8</v>
      </c>
      <c r="R28" s="137">
        <v>2.6459999999999999</v>
      </c>
      <c r="S28" s="185">
        <v>0.1119</v>
      </c>
      <c r="T28" s="138">
        <v>11.1</v>
      </c>
      <c r="U28" s="137">
        <v>2.5390000000000001</v>
      </c>
      <c r="V28" s="186">
        <v>0.1033</v>
      </c>
      <c r="W28" s="135">
        <v>11.7</v>
      </c>
      <c r="X28" s="137">
        <v>2.6230000000000002</v>
      </c>
      <c r="Y28" s="185">
        <v>0.1026</v>
      </c>
      <c r="Z28" s="138">
        <v>11.8</v>
      </c>
      <c r="AA28" s="137">
        <v>2.57</v>
      </c>
      <c r="AB28" s="186">
        <v>0.1016</v>
      </c>
      <c r="AC28" s="135">
        <v>10.4</v>
      </c>
      <c r="AD28" s="137">
        <v>2.593</v>
      </c>
      <c r="AE28" s="185">
        <v>0.1077</v>
      </c>
      <c r="AF28" s="138">
        <v>9.1</v>
      </c>
      <c r="AG28" s="137">
        <v>2.6480000000000001</v>
      </c>
      <c r="AH28" s="186">
        <v>0.1011</v>
      </c>
      <c r="AI28" s="135">
        <v>9.9</v>
      </c>
      <c r="AJ28" s="137">
        <v>2.625</v>
      </c>
      <c r="AK28" s="185">
        <v>0.1011</v>
      </c>
    </row>
    <row r="29" spans="1:37" x14ac:dyDescent="0.35">
      <c r="A29" s="56"/>
      <c r="B29" s="135">
        <v>13.1</v>
      </c>
      <c r="C29" s="47">
        <v>2.7109999999999999</v>
      </c>
      <c r="D29" s="186">
        <v>0.1133</v>
      </c>
      <c r="E29" s="135">
        <v>11.3</v>
      </c>
      <c r="F29" s="137">
        <v>2.7519999999999998</v>
      </c>
      <c r="G29" s="185">
        <v>0.1026</v>
      </c>
      <c r="H29" s="138">
        <v>10.8</v>
      </c>
      <c r="I29" s="137">
        <v>2.6419999999999999</v>
      </c>
      <c r="J29" s="186">
        <v>8.0500000000000002E-2</v>
      </c>
      <c r="K29" s="135">
        <v>11.4</v>
      </c>
      <c r="L29" s="137">
        <v>2.8330000000000002</v>
      </c>
      <c r="M29" s="185">
        <v>0.11269999999999999</v>
      </c>
      <c r="N29" s="138">
        <v>12.6</v>
      </c>
      <c r="O29" s="137">
        <v>2.718</v>
      </c>
      <c r="P29" s="186">
        <v>0.1032</v>
      </c>
      <c r="Q29" s="135">
        <v>12</v>
      </c>
      <c r="R29" s="137">
        <v>2.77</v>
      </c>
      <c r="S29" s="185">
        <v>0.1163</v>
      </c>
      <c r="T29" s="138">
        <v>11.3</v>
      </c>
      <c r="U29" s="137">
        <v>2.6419999999999999</v>
      </c>
      <c r="V29" s="186">
        <v>0.1085</v>
      </c>
      <c r="W29" s="135">
        <v>11.9</v>
      </c>
      <c r="X29" s="137">
        <v>2.7480000000000002</v>
      </c>
      <c r="Y29" s="185">
        <v>0.111</v>
      </c>
      <c r="Z29" s="138">
        <v>12</v>
      </c>
      <c r="AA29" s="137">
        <v>2.6829999999999998</v>
      </c>
      <c r="AB29" s="186">
        <v>0.1099</v>
      </c>
      <c r="AC29" s="135">
        <v>10.6</v>
      </c>
      <c r="AD29" s="137">
        <v>2.702</v>
      </c>
      <c r="AE29" s="185">
        <v>0.10680000000000001</v>
      </c>
      <c r="AF29" s="138">
        <v>9.4</v>
      </c>
      <c r="AG29" s="137">
        <v>2.7749999999999999</v>
      </c>
      <c r="AH29" s="186">
        <v>0.1056</v>
      </c>
      <c r="AI29" s="135">
        <v>10.1</v>
      </c>
      <c r="AJ29" s="137">
        <v>2.758</v>
      </c>
      <c r="AK29" s="185">
        <v>0.1016</v>
      </c>
    </row>
    <row r="30" spans="1:37" x14ac:dyDescent="0.35">
      <c r="A30" s="56"/>
      <c r="B30" s="135">
        <v>13.3</v>
      </c>
      <c r="C30" s="47">
        <v>2.8239999999999998</v>
      </c>
      <c r="D30" s="186">
        <v>0.1166</v>
      </c>
      <c r="E30" s="135">
        <v>11.5</v>
      </c>
      <c r="F30" s="137">
        <v>2.8860000000000001</v>
      </c>
      <c r="G30" s="185">
        <v>0.1101</v>
      </c>
      <c r="H30" s="138">
        <v>11.1</v>
      </c>
      <c r="I30" s="137">
        <v>2.7509999999999999</v>
      </c>
      <c r="J30" s="186">
        <v>8.9200000000000002E-2</v>
      </c>
      <c r="K30" s="135">
        <v>11.6</v>
      </c>
      <c r="L30" s="137">
        <v>2.9729999999999999</v>
      </c>
      <c r="M30" s="185">
        <v>0.121</v>
      </c>
      <c r="N30" s="138">
        <v>12.8</v>
      </c>
      <c r="O30" s="137">
        <v>2.8519999999999999</v>
      </c>
      <c r="P30" s="186">
        <v>0.1138</v>
      </c>
      <c r="Q30" s="135">
        <v>12.3</v>
      </c>
      <c r="R30" s="137">
        <v>2.887</v>
      </c>
      <c r="S30" s="185">
        <v>0.1207</v>
      </c>
      <c r="T30" s="138">
        <v>11.6</v>
      </c>
      <c r="U30" s="137">
        <v>2.7669999999999999</v>
      </c>
      <c r="V30" s="186">
        <v>0.11559999999999999</v>
      </c>
      <c r="W30" s="135">
        <v>12.1</v>
      </c>
      <c r="X30" s="137">
        <v>2.8730000000000002</v>
      </c>
      <c r="Y30" s="185">
        <v>0.11360000000000001</v>
      </c>
      <c r="Z30" s="138">
        <v>12.3</v>
      </c>
      <c r="AA30" s="137">
        <v>2.8140000000000001</v>
      </c>
      <c r="AB30" s="186">
        <v>0.1103</v>
      </c>
      <c r="AC30" s="135">
        <v>10.9</v>
      </c>
      <c r="AD30" s="137">
        <v>2.8039999999999998</v>
      </c>
      <c r="AE30" s="185">
        <v>0.1135</v>
      </c>
      <c r="AF30" s="138">
        <v>9.6</v>
      </c>
      <c r="AG30" s="137">
        <v>2.899</v>
      </c>
      <c r="AH30" s="186">
        <v>0.1153</v>
      </c>
      <c r="AI30" s="135">
        <v>10.199999999999999</v>
      </c>
      <c r="AJ30" s="137">
        <v>2.8719999999999999</v>
      </c>
      <c r="AK30" s="185">
        <v>0.1111</v>
      </c>
    </row>
    <row r="31" spans="1:37" x14ac:dyDescent="0.35">
      <c r="A31" s="56"/>
      <c r="B31" s="135">
        <v>13.6</v>
      </c>
      <c r="C31" s="47">
        <v>2.9350000000000001</v>
      </c>
      <c r="D31" s="186">
        <v>0.1229</v>
      </c>
      <c r="E31" s="135">
        <v>11.7</v>
      </c>
      <c r="F31" s="137">
        <v>3.0129999999999999</v>
      </c>
      <c r="G31" s="185">
        <v>0.115</v>
      </c>
      <c r="H31" s="138">
        <v>11.3</v>
      </c>
      <c r="I31" s="137">
        <v>2.8519999999999999</v>
      </c>
      <c r="J31" s="186">
        <v>9.6199999999999994E-2</v>
      </c>
      <c r="K31" s="135">
        <v>11.8</v>
      </c>
      <c r="L31" s="137">
        <v>3.0840000000000001</v>
      </c>
      <c r="M31" s="185">
        <v>0.1227</v>
      </c>
      <c r="N31" s="138">
        <v>13</v>
      </c>
      <c r="O31" s="137">
        <v>2.9529999999999998</v>
      </c>
      <c r="P31" s="186">
        <v>0.12039999999999999</v>
      </c>
      <c r="Q31" s="135">
        <v>12.5</v>
      </c>
      <c r="R31" s="137">
        <v>3.0049999999999999</v>
      </c>
      <c r="S31" s="185">
        <v>0.1215</v>
      </c>
      <c r="T31" s="138">
        <v>11.8</v>
      </c>
      <c r="U31" s="137">
        <v>2.895</v>
      </c>
      <c r="V31" s="186">
        <v>0.1222</v>
      </c>
      <c r="W31" s="135">
        <v>12.3</v>
      </c>
      <c r="X31" s="137">
        <v>2.988</v>
      </c>
      <c r="Y31" s="185">
        <v>0.11890000000000001</v>
      </c>
      <c r="Z31" s="138">
        <v>12.5</v>
      </c>
      <c r="AA31" s="137">
        <v>2.923</v>
      </c>
      <c r="AB31" s="186">
        <v>0.1147</v>
      </c>
      <c r="AC31" s="135">
        <v>11.2</v>
      </c>
      <c r="AD31" s="137">
        <v>2.9169999999999998</v>
      </c>
      <c r="AE31" s="185">
        <v>0.11650000000000001</v>
      </c>
      <c r="AF31" s="138">
        <v>9.8000000000000007</v>
      </c>
      <c r="AG31" s="137">
        <v>3.0129999999999999</v>
      </c>
      <c r="AH31" s="186">
        <v>0.1206</v>
      </c>
      <c r="AI31" s="135">
        <v>10.4</v>
      </c>
      <c r="AJ31" s="137">
        <v>3.012</v>
      </c>
      <c r="AK31" s="185">
        <v>0.11849999999999999</v>
      </c>
    </row>
    <row r="32" spans="1:37" x14ac:dyDescent="0.35">
      <c r="A32" s="56"/>
      <c r="B32" s="135">
        <v>13.8</v>
      </c>
      <c r="C32" s="47">
        <v>3.0390000000000001</v>
      </c>
      <c r="D32" s="186">
        <v>0.13089999999999999</v>
      </c>
      <c r="E32" s="135">
        <v>11.9</v>
      </c>
      <c r="F32" s="137">
        <v>3.1309999999999998</v>
      </c>
      <c r="G32" s="185">
        <v>0.11849999999999999</v>
      </c>
      <c r="H32" s="138">
        <v>11.6</v>
      </c>
      <c r="I32" s="137">
        <v>2.97</v>
      </c>
      <c r="J32" s="186">
        <v>9.9699999999999997E-2</v>
      </c>
      <c r="K32" s="135">
        <v>11.9</v>
      </c>
      <c r="L32" s="137">
        <v>3.1890000000000001</v>
      </c>
      <c r="M32" s="185">
        <v>0.13009999999999999</v>
      </c>
      <c r="N32" s="138">
        <v>13.3</v>
      </c>
      <c r="O32" s="137">
        <v>3.0640000000000001</v>
      </c>
      <c r="P32" s="186">
        <v>0.12690000000000001</v>
      </c>
      <c r="Q32" s="135">
        <v>12.8</v>
      </c>
      <c r="R32" s="137">
        <v>3.121</v>
      </c>
      <c r="S32" s="185">
        <v>0.13420000000000001</v>
      </c>
      <c r="T32" s="138">
        <v>12</v>
      </c>
      <c r="U32" s="137">
        <v>3.0089999999999999</v>
      </c>
      <c r="V32" s="186">
        <v>0.1182</v>
      </c>
      <c r="W32" s="135">
        <v>12.5</v>
      </c>
      <c r="X32" s="137">
        <v>3.089</v>
      </c>
      <c r="Y32" s="185">
        <v>0.13170000000000001</v>
      </c>
      <c r="Z32" s="138">
        <v>12.8</v>
      </c>
      <c r="AA32" s="137">
        <v>3.044</v>
      </c>
      <c r="AB32" s="186">
        <v>0.1212</v>
      </c>
      <c r="AC32" s="135">
        <v>11.4</v>
      </c>
      <c r="AD32" s="137">
        <v>3.04</v>
      </c>
      <c r="AE32" s="185">
        <v>0.12139999999999999</v>
      </c>
      <c r="AF32" s="138">
        <v>9.9</v>
      </c>
      <c r="AG32" s="137">
        <v>3.1320000000000001</v>
      </c>
      <c r="AH32" s="186">
        <v>0.122</v>
      </c>
      <c r="AI32" s="135">
        <v>10.7</v>
      </c>
      <c r="AJ32" s="137">
        <v>3.1150000000000002</v>
      </c>
      <c r="AK32" s="185">
        <v>0.11849999999999999</v>
      </c>
    </row>
    <row r="33" spans="1:37" x14ac:dyDescent="0.35">
      <c r="A33" s="56"/>
      <c r="B33" s="135">
        <v>14</v>
      </c>
      <c r="C33" s="47">
        <v>3.1560000000000001</v>
      </c>
      <c r="D33" s="186">
        <v>0.1363</v>
      </c>
      <c r="E33" s="135">
        <v>12</v>
      </c>
      <c r="F33" s="137">
        <v>3.2410000000000001</v>
      </c>
      <c r="G33" s="185">
        <v>0.1305</v>
      </c>
      <c r="H33" s="138">
        <v>11.8</v>
      </c>
      <c r="I33" s="137">
        <v>3.097</v>
      </c>
      <c r="J33" s="186">
        <v>0.1032</v>
      </c>
      <c r="K33" s="135">
        <v>12.1</v>
      </c>
      <c r="L33" s="137">
        <v>3.2959999999999998</v>
      </c>
      <c r="M33" s="185">
        <v>0.1323</v>
      </c>
      <c r="N33" s="138">
        <v>13.5</v>
      </c>
      <c r="O33" s="137">
        <v>3.177</v>
      </c>
      <c r="P33" s="186">
        <v>0.12909999999999999</v>
      </c>
      <c r="Q33" s="135">
        <v>12.9</v>
      </c>
      <c r="R33" s="137">
        <v>3.2440000000000002</v>
      </c>
      <c r="S33" s="185">
        <v>0.13900000000000001</v>
      </c>
      <c r="T33" s="138">
        <v>12.1</v>
      </c>
      <c r="U33" s="137">
        <v>3.14</v>
      </c>
      <c r="V33" s="186">
        <v>0.12609999999999999</v>
      </c>
      <c r="W33" s="135">
        <v>12.8</v>
      </c>
      <c r="X33" s="137">
        <v>3.2189999999999999</v>
      </c>
      <c r="Y33" s="185">
        <v>0.1326</v>
      </c>
      <c r="Z33" s="138">
        <v>13</v>
      </c>
      <c r="AA33" s="137">
        <v>3.1459999999999999</v>
      </c>
      <c r="AB33" s="186">
        <v>0.12470000000000001</v>
      </c>
      <c r="AC33" s="135">
        <v>11.5</v>
      </c>
      <c r="AD33" s="137">
        <v>3.1459999999999999</v>
      </c>
      <c r="AE33" s="185">
        <v>0.12709999999999999</v>
      </c>
      <c r="AF33" s="138">
        <v>10.1</v>
      </c>
      <c r="AG33" s="137">
        <v>3.2330000000000001</v>
      </c>
      <c r="AH33" s="186">
        <v>0.12640000000000001</v>
      </c>
      <c r="AI33" s="135">
        <v>10.9</v>
      </c>
      <c r="AJ33" s="137">
        <v>3.2290000000000001</v>
      </c>
      <c r="AK33" s="185">
        <v>0.11899999999999999</v>
      </c>
    </row>
    <row r="34" spans="1:37" x14ac:dyDescent="0.35">
      <c r="A34" s="56"/>
      <c r="B34" s="135">
        <v>14.2</v>
      </c>
      <c r="C34" s="47">
        <v>3.2610000000000001</v>
      </c>
      <c r="D34" s="186">
        <v>0.14180000000000001</v>
      </c>
      <c r="E34" s="135">
        <v>12.2</v>
      </c>
      <c r="F34" s="137">
        <v>3.37</v>
      </c>
      <c r="G34" s="185">
        <v>0.13009999999999999</v>
      </c>
      <c r="H34" s="138">
        <v>12</v>
      </c>
      <c r="I34" s="137">
        <v>3.226</v>
      </c>
      <c r="J34" s="186">
        <v>0.108</v>
      </c>
      <c r="K34" s="135">
        <v>12.3</v>
      </c>
      <c r="L34" s="137">
        <v>3.403</v>
      </c>
      <c r="M34" s="185">
        <v>0.1462</v>
      </c>
      <c r="N34" s="138">
        <v>13.7</v>
      </c>
      <c r="O34" s="137">
        <v>3.302</v>
      </c>
      <c r="P34" s="186">
        <v>0.13489999999999999</v>
      </c>
      <c r="Q34" s="135">
        <v>13.2</v>
      </c>
      <c r="R34" s="137">
        <v>3.359</v>
      </c>
      <c r="S34" s="185">
        <v>0.14080000000000001</v>
      </c>
      <c r="T34" s="138">
        <v>12.3</v>
      </c>
      <c r="U34" s="137">
        <v>3.2469999999999999</v>
      </c>
      <c r="V34" s="186">
        <v>0.13800000000000001</v>
      </c>
      <c r="W34" s="135">
        <v>13</v>
      </c>
      <c r="X34" s="137">
        <v>3.3290000000000002</v>
      </c>
      <c r="Y34" s="185">
        <v>0.13439999999999999</v>
      </c>
      <c r="Z34" s="138">
        <v>13.3</v>
      </c>
      <c r="AA34" s="137">
        <v>3.27</v>
      </c>
      <c r="AB34" s="186">
        <v>0.1356</v>
      </c>
      <c r="AC34" s="135">
        <v>11.7</v>
      </c>
      <c r="AD34" s="137">
        <v>3.2650000000000001</v>
      </c>
      <c r="AE34" s="185">
        <v>0.13730000000000001</v>
      </c>
      <c r="AF34" s="138">
        <v>10.3</v>
      </c>
      <c r="AG34" s="137">
        <v>3.3679999999999999</v>
      </c>
      <c r="AH34" s="186">
        <v>0.13569999999999999</v>
      </c>
      <c r="AI34" s="135">
        <v>11.1</v>
      </c>
      <c r="AJ34" s="137">
        <v>3.3479999999999999</v>
      </c>
      <c r="AK34" s="185">
        <v>0.129</v>
      </c>
    </row>
    <row r="35" spans="1:37" x14ac:dyDescent="0.35">
      <c r="A35" s="56"/>
      <c r="B35" s="135">
        <v>14.4</v>
      </c>
      <c r="C35" s="47">
        <v>3.3660000000000001</v>
      </c>
      <c r="D35" s="186">
        <v>0.14680000000000001</v>
      </c>
      <c r="E35" s="135">
        <v>12.4</v>
      </c>
      <c r="F35" s="137">
        <v>3.4750000000000001</v>
      </c>
      <c r="G35" s="185">
        <v>0.1341</v>
      </c>
      <c r="H35" s="138">
        <v>12.3</v>
      </c>
      <c r="I35" s="137">
        <v>3.339</v>
      </c>
      <c r="J35" s="186">
        <v>0.12379999999999999</v>
      </c>
      <c r="K35" s="135">
        <v>12.4</v>
      </c>
      <c r="L35" s="137">
        <v>3.5049999999999999</v>
      </c>
      <c r="M35" s="185">
        <v>0.1497</v>
      </c>
      <c r="N35" s="138">
        <v>13.9</v>
      </c>
      <c r="O35" s="137">
        <v>3.4129999999999998</v>
      </c>
      <c r="P35" s="186">
        <v>0.14360000000000001</v>
      </c>
      <c r="Q35" s="135">
        <v>13.3</v>
      </c>
      <c r="R35" s="137">
        <v>3.4670000000000001</v>
      </c>
      <c r="S35" s="185">
        <v>0.13900000000000001</v>
      </c>
      <c r="T35" s="138">
        <v>12.6</v>
      </c>
      <c r="U35" s="137">
        <v>3.37</v>
      </c>
      <c r="V35" s="186">
        <v>0.1459</v>
      </c>
      <c r="W35" s="135">
        <v>13.2</v>
      </c>
      <c r="X35" s="137">
        <v>3.46</v>
      </c>
      <c r="Y35" s="185">
        <v>0.1401</v>
      </c>
      <c r="Z35" s="138">
        <v>13.5</v>
      </c>
      <c r="AA35" s="137">
        <v>3.3980000000000001</v>
      </c>
      <c r="AB35" s="186">
        <v>0.1326</v>
      </c>
      <c r="AC35" s="135">
        <v>11.9</v>
      </c>
      <c r="AD35" s="137">
        <v>3.3719999999999999</v>
      </c>
      <c r="AE35" s="185">
        <v>0.13769999999999999</v>
      </c>
      <c r="AF35" s="138">
        <v>10.4</v>
      </c>
      <c r="AG35" s="137">
        <v>3.47</v>
      </c>
      <c r="AH35" s="186">
        <v>0.13930000000000001</v>
      </c>
      <c r="AI35" s="135">
        <v>11.3</v>
      </c>
      <c r="AJ35" s="137">
        <v>3.4769999999999999</v>
      </c>
      <c r="AK35" s="185">
        <v>0.12939999999999999</v>
      </c>
    </row>
    <row r="36" spans="1:37" x14ac:dyDescent="0.35">
      <c r="A36" s="56"/>
      <c r="B36" s="135">
        <v>14.6</v>
      </c>
      <c r="C36" s="47">
        <v>3.468</v>
      </c>
      <c r="D36" s="186">
        <v>0.15229999999999999</v>
      </c>
      <c r="E36" s="135">
        <v>12.6</v>
      </c>
      <c r="F36" s="137">
        <v>3.5950000000000002</v>
      </c>
      <c r="G36" s="185">
        <v>0.14119999999999999</v>
      </c>
      <c r="H36" s="138">
        <v>12.5</v>
      </c>
      <c r="I36" s="137">
        <v>3.45</v>
      </c>
      <c r="J36" s="186">
        <v>0.12989999999999999</v>
      </c>
      <c r="K36" s="135">
        <v>12.5</v>
      </c>
      <c r="L36" s="137">
        <v>3.6280000000000001</v>
      </c>
      <c r="M36" s="185">
        <v>0.15579999999999999</v>
      </c>
      <c r="N36" s="138">
        <v>14.1</v>
      </c>
      <c r="O36" s="137">
        <v>3.532</v>
      </c>
      <c r="P36" s="186">
        <v>0.1467</v>
      </c>
      <c r="Q36" s="135">
        <v>13.5</v>
      </c>
      <c r="R36" s="137">
        <v>3.5939999999999999</v>
      </c>
      <c r="S36" s="185">
        <v>0.1447</v>
      </c>
      <c r="T36" s="138">
        <v>12.8</v>
      </c>
      <c r="U36" s="137">
        <v>3.4740000000000002</v>
      </c>
      <c r="V36" s="186">
        <v>0.14940000000000001</v>
      </c>
      <c r="W36" s="135">
        <v>13.4</v>
      </c>
      <c r="X36" s="137">
        <v>3.577</v>
      </c>
      <c r="Y36" s="185">
        <v>0.14990000000000001</v>
      </c>
      <c r="Z36" s="138">
        <v>13.5</v>
      </c>
      <c r="AA36" s="137">
        <v>3.5129999999999999</v>
      </c>
      <c r="AB36" s="186">
        <v>0.1404</v>
      </c>
      <c r="AC36" s="135">
        <v>12.1</v>
      </c>
      <c r="AD36" s="137">
        <v>3.4940000000000002</v>
      </c>
      <c r="AE36" s="185">
        <v>0.1452</v>
      </c>
      <c r="AF36" s="138">
        <v>10.7</v>
      </c>
      <c r="AG36" s="137">
        <v>3.5790000000000002</v>
      </c>
      <c r="AH36" s="186">
        <v>0.15260000000000001</v>
      </c>
      <c r="AI36" s="135">
        <v>11.4</v>
      </c>
      <c r="AJ36" s="137">
        <v>3.5920000000000001</v>
      </c>
      <c r="AK36" s="185">
        <v>0.13289999999999999</v>
      </c>
    </row>
    <row r="37" spans="1:37" x14ac:dyDescent="0.35">
      <c r="A37" s="56"/>
      <c r="B37" s="135">
        <v>14.7</v>
      </c>
      <c r="C37" s="47">
        <v>3.581</v>
      </c>
      <c r="D37" s="186">
        <v>0.156</v>
      </c>
      <c r="E37" s="135">
        <v>12.8</v>
      </c>
      <c r="F37" s="137">
        <v>3.698</v>
      </c>
      <c r="G37" s="185">
        <v>0.14560000000000001</v>
      </c>
      <c r="H37" s="138">
        <v>12.6</v>
      </c>
      <c r="I37" s="137">
        <v>3.5510000000000002</v>
      </c>
      <c r="J37" s="186">
        <v>0.13819999999999999</v>
      </c>
      <c r="K37" s="135">
        <v>12.8</v>
      </c>
      <c r="L37" s="137">
        <v>3.7389999999999999</v>
      </c>
      <c r="M37" s="185">
        <v>0.1575</v>
      </c>
      <c r="N37" s="138">
        <v>14.3</v>
      </c>
      <c r="O37" s="137">
        <v>3.657</v>
      </c>
      <c r="P37" s="186">
        <v>0.15509999999999999</v>
      </c>
      <c r="Q37" s="135">
        <v>13.7</v>
      </c>
      <c r="R37" s="137">
        <v>3.7160000000000002</v>
      </c>
      <c r="S37" s="185">
        <v>0.14910000000000001</v>
      </c>
      <c r="T37" s="138">
        <v>13</v>
      </c>
      <c r="U37" s="137">
        <v>3.5950000000000002</v>
      </c>
      <c r="V37" s="186">
        <v>0.14940000000000001</v>
      </c>
      <c r="W37" s="135">
        <v>13.5</v>
      </c>
      <c r="X37" s="137">
        <v>3.6930000000000001</v>
      </c>
      <c r="Y37" s="185">
        <v>0.156</v>
      </c>
      <c r="Z37" s="138">
        <v>13.7</v>
      </c>
      <c r="AA37" s="137">
        <v>3.653</v>
      </c>
      <c r="AB37" s="186">
        <v>0.15129999999999999</v>
      </c>
      <c r="AC37" s="135">
        <v>12.3</v>
      </c>
      <c r="AD37" s="137">
        <v>3.5950000000000002</v>
      </c>
      <c r="AE37" s="185">
        <v>0.14660000000000001</v>
      </c>
      <c r="AF37" s="138">
        <v>10.9</v>
      </c>
      <c r="AG37" s="137">
        <v>3.6850000000000001</v>
      </c>
      <c r="AH37" s="186">
        <v>0.1512</v>
      </c>
      <c r="AI37" s="135">
        <v>11.7</v>
      </c>
      <c r="AJ37" s="137">
        <v>3.718</v>
      </c>
      <c r="AK37" s="185">
        <v>0.13550000000000001</v>
      </c>
    </row>
    <row r="38" spans="1:37" x14ac:dyDescent="0.35">
      <c r="A38" s="56"/>
      <c r="B38" s="135">
        <v>15</v>
      </c>
      <c r="C38" s="47">
        <v>3.698</v>
      </c>
      <c r="D38" s="186">
        <v>0.1648</v>
      </c>
      <c r="E38" s="135">
        <v>17.8</v>
      </c>
      <c r="F38" s="137">
        <v>3.7589999999999999</v>
      </c>
      <c r="G38" s="185">
        <v>0.14779999999999999</v>
      </c>
      <c r="H38" s="138">
        <v>12.9</v>
      </c>
      <c r="I38" s="137">
        <v>3.6669999999999998</v>
      </c>
      <c r="J38" s="186">
        <v>0.1386</v>
      </c>
      <c r="K38" s="135">
        <v>12.9</v>
      </c>
      <c r="L38" s="137">
        <v>3.8610000000000002</v>
      </c>
      <c r="M38" s="185">
        <v>0.1588</v>
      </c>
      <c r="N38" s="138">
        <v>14.5</v>
      </c>
      <c r="O38" s="137">
        <v>3.786</v>
      </c>
      <c r="P38" s="186">
        <v>0.159</v>
      </c>
      <c r="Q38" s="135">
        <v>13.9</v>
      </c>
      <c r="R38" s="137">
        <v>3.82</v>
      </c>
      <c r="S38" s="185">
        <v>0.1547</v>
      </c>
      <c r="T38" s="138">
        <v>13.1</v>
      </c>
      <c r="U38" s="137">
        <v>3.706</v>
      </c>
      <c r="V38" s="186">
        <v>0.156</v>
      </c>
      <c r="W38" s="135">
        <v>13.7</v>
      </c>
      <c r="X38" s="137">
        <v>3.8210000000000002</v>
      </c>
      <c r="Y38" s="185">
        <v>0.16309999999999999</v>
      </c>
      <c r="Z38" s="138">
        <v>13.9</v>
      </c>
      <c r="AA38" s="137">
        <v>3.7879999999999998</v>
      </c>
      <c r="AB38" s="186">
        <v>0.15479999999999999</v>
      </c>
      <c r="AC38" s="135">
        <v>12.4</v>
      </c>
      <c r="AD38" s="137">
        <v>3.6970000000000001</v>
      </c>
      <c r="AE38" s="185">
        <v>0.1598</v>
      </c>
      <c r="AF38" s="138">
        <v>11.1</v>
      </c>
      <c r="AG38" s="137">
        <v>3.79</v>
      </c>
      <c r="AH38" s="186">
        <v>0.15390000000000001</v>
      </c>
      <c r="AI38" s="135">
        <v>11.9</v>
      </c>
      <c r="AJ38" s="137">
        <v>3.83</v>
      </c>
      <c r="AK38" s="185">
        <v>0.14380000000000001</v>
      </c>
    </row>
    <row r="39" spans="1:37" x14ac:dyDescent="0.35">
      <c r="A39" s="56"/>
      <c r="B39" s="135">
        <v>20</v>
      </c>
      <c r="C39" s="47">
        <v>3.774</v>
      </c>
      <c r="D39" s="186">
        <v>0.16819999999999999</v>
      </c>
      <c r="E39" s="59"/>
      <c r="F39" s="57"/>
      <c r="G39" s="58"/>
      <c r="H39" s="138">
        <v>17.899999999999999</v>
      </c>
      <c r="I39" s="137">
        <v>3.7320000000000002</v>
      </c>
      <c r="J39" s="186">
        <v>0.1452</v>
      </c>
      <c r="K39" s="135">
        <v>13.1</v>
      </c>
      <c r="L39" s="137">
        <v>3.9990000000000001</v>
      </c>
      <c r="M39" s="185">
        <v>0.17230000000000001</v>
      </c>
      <c r="N39" s="138">
        <v>14.8</v>
      </c>
      <c r="O39" s="137">
        <v>3.9020000000000001</v>
      </c>
      <c r="P39" s="186">
        <v>0.16689999999999999</v>
      </c>
      <c r="Q39" s="135">
        <v>14.2</v>
      </c>
      <c r="R39" s="137">
        <v>3.9430000000000001</v>
      </c>
      <c r="S39" s="185">
        <v>0.1696</v>
      </c>
      <c r="T39" s="138">
        <v>13.4</v>
      </c>
      <c r="U39" s="137">
        <v>3.8370000000000002</v>
      </c>
      <c r="V39" s="186">
        <v>0.16439999999999999</v>
      </c>
      <c r="W39" s="135">
        <v>13.9</v>
      </c>
      <c r="X39" s="137">
        <v>3.931</v>
      </c>
      <c r="Y39" s="185">
        <v>0.1711</v>
      </c>
      <c r="Z39" s="138">
        <v>14</v>
      </c>
      <c r="AA39" s="137">
        <v>3.919</v>
      </c>
      <c r="AB39" s="186">
        <v>0.16139999999999999</v>
      </c>
      <c r="AC39" s="135">
        <v>12.7</v>
      </c>
      <c r="AD39" s="137">
        <v>3.82</v>
      </c>
      <c r="AE39" s="185">
        <v>0.16200000000000001</v>
      </c>
      <c r="AF39" s="138">
        <v>11.3</v>
      </c>
      <c r="AG39" s="137">
        <v>3.9209999999999998</v>
      </c>
      <c r="AH39" s="186">
        <v>0.15970000000000001</v>
      </c>
      <c r="AI39" s="135">
        <v>12.1</v>
      </c>
      <c r="AJ39" s="137">
        <v>3.9329999999999998</v>
      </c>
      <c r="AK39" s="185">
        <v>0.14990000000000001</v>
      </c>
    </row>
    <row r="40" spans="1:37" x14ac:dyDescent="0.35">
      <c r="A40" s="56"/>
      <c r="B40" s="56"/>
      <c r="C40" s="57"/>
      <c r="D40" s="187"/>
      <c r="E40" s="56"/>
      <c r="F40" s="57"/>
      <c r="G40" s="58"/>
      <c r="H40" s="57"/>
      <c r="I40" s="57"/>
      <c r="J40" s="186"/>
      <c r="K40" s="135">
        <v>13.3</v>
      </c>
      <c r="L40" s="137">
        <v>4.1040000000000001</v>
      </c>
      <c r="M40" s="185">
        <v>0.17230000000000001</v>
      </c>
      <c r="N40" s="138">
        <v>14.9</v>
      </c>
      <c r="O40" s="137">
        <v>4.016</v>
      </c>
      <c r="P40" s="186">
        <v>0.17130000000000001</v>
      </c>
      <c r="Q40" s="135">
        <v>14.3</v>
      </c>
      <c r="R40" s="137">
        <v>4.0679999999999996</v>
      </c>
      <c r="S40" s="185">
        <v>0.17530000000000001</v>
      </c>
      <c r="T40" s="138">
        <v>13.6</v>
      </c>
      <c r="U40" s="137">
        <v>3.9460000000000002</v>
      </c>
      <c r="V40" s="186">
        <v>0.1661</v>
      </c>
      <c r="W40" s="135">
        <v>14.1</v>
      </c>
      <c r="X40" s="137">
        <v>4.0490000000000004</v>
      </c>
      <c r="Y40" s="185">
        <v>0.17199999999999999</v>
      </c>
      <c r="Z40" s="138">
        <v>14.1</v>
      </c>
      <c r="AA40" s="137">
        <v>4.0540000000000003</v>
      </c>
      <c r="AB40" s="186">
        <v>0.16700000000000001</v>
      </c>
      <c r="AC40" s="135">
        <v>12.9</v>
      </c>
      <c r="AD40" s="137">
        <v>3.9609999999999999</v>
      </c>
      <c r="AE40" s="185">
        <v>0.1691</v>
      </c>
      <c r="AF40" s="138">
        <v>11.5</v>
      </c>
      <c r="AG40" s="137">
        <v>4.0350000000000001</v>
      </c>
      <c r="AH40" s="186">
        <v>0.16539999999999999</v>
      </c>
      <c r="AI40" s="135">
        <v>12.3</v>
      </c>
      <c r="AJ40" s="137">
        <v>4.04</v>
      </c>
      <c r="AK40" s="185">
        <v>0.15859999999999999</v>
      </c>
    </row>
    <row r="41" spans="1:37" x14ac:dyDescent="0.35">
      <c r="A41" s="56"/>
      <c r="B41" s="56"/>
      <c r="C41" s="57"/>
      <c r="D41" s="57"/>
      <c r="E41" s="56"/>
      <c r="F41" s="57"/>
      <c r="G41" s="58"/>
      <c r="H41" s="57"/>
      <c r="I41" s="57"/>
      <c r="J41" s="186"/>
      <c r="K41" s="135">
        <v>13.5</v>
      </c>
      <c r="L41" s="137">
        <v>4.2389999999999999</v>
      </c>
      <c r="M41" s="185">
        <v>0.1832</v>
      </c>
      <c r="N41" s="138">
        <v>15.1</v>
      </c>
      <c r="O41" s="137">
        <v>4.1440000000000001</v>
      </c>
      <c r="P41" s="186">
        <v>0.17219999999999999</v>
      </c>
      <c r="Q41" s="135">
        <v>14.5</v>
      </c>
      <c r="R41" s="137">
        <v>4.1870000000000003</v>
      </c>
      <c r="S41" s="185">
        <v>0.18010000000000001</v>
      </c>
      <c r="T41" s="138">
        <v>13.7</v>
      </c>
      <c r="U41" s="137">
        <v>4.0460000000000003</v>
      </c>
      <c r="V41" s="186">
        <v>0.1709</v>
      </c>
      <c r="W41" s="135">
        <v>14.4</v>
      </c>
      <c r="X41" s="137">
        <v>4.1500000000000004</v>
      </c>
      <c r="Y41" s="185">
        <v>0.1724</v>
      </c>
      <c r="Z41" s="138">
        <v>14.3</v>
      </c>
      <c r="AA41" s="137">
        <v>4.1920000000000002</v>
      </c>
      <c r="AB41" s="186">
        <v>0.1701</v>
      </c>
      <c r="AC41" s="135">
        <v>13</v>
      </c>
      <c r="AD41" s="137">
        <v>4.0780000000000003</v>
      </c>
      <c r="AE41" s="185">
        <v>0.1704</v>
      </c>
      <c r="AF41" s="138">
        <v>11.8</v>
      </c>
      <c r="AG41" s="137">
        <v>4.1420000000000003</v>
      </c>
      <c r="AH41" s="186">
        <v>0.1734</v>
      </c>
      <c r="AI41" s="135">
        <v>12.4</v>
      </c>
      <c r="AJ41" s="137">
        <v>4.1459999999999999</v>
      </c>
      <c r="AK41" s="185">
        <v>0.16650000000000001</v>
      </c>
    </row>
    <row r="42" spans="1:37" x14ac:dyDescent="0.35">
      <c r="A42" s="56"/>
      <c r="B42" s="59"/>
      <c r="C42" s="57"/>
      <c r="D42" s="57"/>
      <c r="E42" s="56"/>
      <c r="F42" s="57"/>
      <c r="G42" s="58"/>
      <c r="H42" s="57"/>
      <c r="I42" s="57"/>
      <c r="J42" s="186"/>
      <c r="K42" s="135">
        <v>13.6</v>
      </c>
      <c r="L42" s="137">
        <v>4.3920000000000003</v>
      </c>
      <c r="M42" s="185">
        <v>0.1827</v>
      </c>
      <c r="N42" s="138">
        <v>15.3</v>
      </c>
      <c r="O42" s="137">
        <v>4.2469999999999999</v>
      </c>
      <c r="P42" s="186">
        <v>0.18010000000000001</v>
      </c>
      <c r="Q42" s="135">
        <v>14.7</v>
      </c>
      <c r="R42" s="137">
        <v>4.3070000000000004</v>
      </c>
      <c r="S42" s="185">
        <v>0.17399999999999999</v>
      </c>
      <c r="T42" s="138">
        <v>13.9</v>
      </c>
      <c r="U42" s="137">
        <v>4.165</v>
      </c>
      <c r="V42" s="186">
        <v>0.1749</v>
      </c>
      <c r="W42" s="135">
        <v>14.6</v>
      </c>
      <c r="X42" s="137">
        <v>4.2679999999999998</v>
      </c>
      <c r="Y42" s="185">
        <v>0.17860000000000001</v>
      </c>
      <c r="Z42" s="138">
        <v>14.5</v>
      </c>
      <c r="AA42" s="137">
        <v>4.3239999999999998</v>
      </c>
      <c r="AB42" s="186">
        <v>0.1792</v>
      </c>
      <c r="AC42" s="135">
        <v>13.2</v>
      </c>
      <c r="AD42" s="137">
        <v>4.2009999999999996</v>
      </c>
      <c r="AE42" s="185">
        <v>0.1757</v>
      </c>
      <c r="AF42" s="138">
        <v>11.9</v>
      </c>
      <c r="AG42" s="137">
        <v>4.2549999999999999</v>
      </c>
      <c r="AH42" s="186">
        <v>0.17829999999999999</v>
      </c>
      <c r="AI42" s="135">
        <v>12.7</v>
      </c>
      <c r="AJ42" s="137">
        <v>4.2789999999999999</v>
      </c>
      <c r="AK42" s="185">
        <v>0.1726</v>
      </c>
    </row>
    <row r="43" spans="1:37" x14ac:dyDescent="0.35">
      <c r="A43" s="56"/>
      <c r="B43" s="56"/>
      <c r="C43" s="57"/>
      <c r="D43" s="57"/>
      <c r="E43" s="56"/>
      <c r="F43" s="57"/>
      <c r="G43" s="58"/>
      <c r="H43" s="57"/>
      <c r="I43" s="57"/>
      <c r="J43" s="186"/>
      <c r="K43" s="135">
        <v>13.8</v>
      </c>
      <c r="L43" s="137">
        <v>4.5010000000000003</v>
      </c>
      <c r="M43" s="185">
        <v>0.19489999999999999</v>
      </c>
      <c r="N43" s="138">
        <v>15.5</v>
      </c>
      <c r="O43" s="137">
        <v>4.3620000000000001</v>
      </c>
      <c r="P43" s="186">
        <v>0.18360000000000001</v>
      </c>
      <c r="Q43" s="135">
        <v>14.9</v>
      </c>
      <c r="R43" s="137">
        <v>4.4290000000000003</v>
      </c>
      <c r="S43" s="185">
        <v>0.18049999999999999</v>
      </c>
      <c r="T43" s="138">
        <v>14.1</v>
      </c>
      <c r="U43" s="137">
        <v>4.2679999999999998</v>
      </c>
      <c r="V43" s="186">
        <v>0.1797</v>
      </c>
      <c r="W43" s="135">
        <v>14.9</v>
      </c>
      <c r="X43" s="137">
        <v>4.3929999999999998</v>
      </c>
      <c r="Y43" s="185">
        <v>0.18790000000000001</v>
      </c>
      <c r="Z43" s="138">
        <v>14.6</v>
      </c>
      <c r="AA43" s="137">
        <v>4.4509999999999996</v>
      </c>
      <c r="AB43" s="186">
        <v>0.18010000000000001</v>
      </c>
      <c r="AC43" s="135">
        <v>13.4</v>
      </c>
      <c r="AD43" s="137">
        <v>4.3120000000000003</v>
      </c>
      <c r="AE43" s="185">
        <v>0.1757</v>
      </c>
      <c r="AF43" s="138">
        <v>12.1</v>
      </c>
      <c r="AG43" s="137">
        <v>4.38</v>
      </c>
      <c r="AH43" s="186">
        <v>0.18179999999999999</v>
      </c>
      <c r="AI43" s="135">
        <v>12.9</v>
      </c>
      <c r="AJ43" s="137">
        <v>4.4109999999999996</v>
      </c>
      <c r="AK43" s="185">
        <v>0.1787</v>
      </c>
    </row>
    <row r="44" spans="1:37" x14ac:dyDescent="0.35">
      <c r="A44" s="56"/>
      <c r="B44" s="56"/>
      <c r="C44" s="57"/>
      <c r="D44" s="57"/>
      <c r="E44" s="56"/>
      <c r="F44" s="57"/>
      <c r="G44" s="58"/>
      <c r="H44" s="57"/>
      <c r="I44" s="57"/>
      <c r="J44" s="187"/>
      <c r="K44" s="135">
        <v>13.9</v>
      </c>
      <c r="L44" s="137">
        <v>4.6280000000000001</v>
      </c>
      <c r="M44" s="185">
        <v>0.1988</v>
      </c>
      <c r="N44" s="138">
        <v>15.6</v>
      </c>
      <c r="O44" s="137">
        <v>4.4710000000000001</v>
      </c>
      <c r="P44" s="186">
        <v>0.19059999999999999</v>
      </c>
      <c r="Q44" s="135">
        <v>15</v>
      </c>
      <c r="R44" s="137">
        <v>4.5369999999999999</v>
      </c>
      <c r="S44" s="185">
        <v>0.19320000000000001</v>
      </c>
      <c r="T44" s="138">
        <v>14.3</v>
      </c>
      <c r="U44" s="137">
        <v>4.399</v>
      </c>
      <c r="V44" s="186">
        <v>0.18720000000000001</v>
      </c>
      <c r="W44" s="135">
        <v>15</v>
      </c>
      <c r="X44" s="137">
        <v>4.5049999999999999</v>
      </c>
      <c r="Y44" s="185">
        <v>0.1963</v>
      </c>
      <c r="Z44" s="138">
        <v>14.7</v>
      </c>
      <c r="AA44" s="137">
        <v>4.556</v>
      </c>
      <c r="AB44" s="186">
        <v>0.18840000000000001</v>
      </c>
      <c r="AC44" s="135">
        <v>13.6</v>
      </c>
      <c r="AD44" s="137">
        <v>4.43</v>
      </c>
      <c r="AE44" s="185">
        <v>0.18579999999999999</v>
      </c>
      <c r="AF44" s="138">
        <v>12.3</v>
      </c>
      <c r="AG44" s="137">
        <v>4.5010000000000003</v>
      </c>
      <c r="AH44" s="186">
        <v>0.18890000000000001</v>
      </c>
      <c r="AI44" s="135">
        <v>13</v>
      </c>
      <c r="AJ44" s="137">
        <v>4.5209999999999999</v>
      </c>
      <c r="AK44" s="185">
        <v>0.17780000000000001</v>
      </c>
    </row>
    <row r="45" spans="1:37" x14ac:dyDescent="0.35">
      <c r="A45" s="56"/>
      <c r="B45" s="56"/>
      <c r="C45" s="57"/>
      <c r="D45" s="57"/>
      <c r="E45" s="56"/>
      <c r="F45" s="57"/>
      <c r="G45" s="58"/>
      <c r="H45" s="57"/>
      <c r="I45" s="57"/>
      <c r="J45" s="187"/>
      <c r="K45" s="59"/>
      <c r="L45" s="137"/>
      <c r="M45" s="185"/>
      <c r="N45" s="138">
        <v>15.9</v>
      </c>
      <c r="O45" s="137">
        <v>4.5960000000000001</v>
      </c>
      <c r="P45" s="186">
        <v>0.20030000000000001</v>
      </c>
      <c r="Q45" s="135"/>
      <c r="R45" s="137"/>
      <c r="S45" s="185"/>
      <c r="T45" s="138">
        <v>14.4</v>
      </c>
      <c r="U45" s="137">
        <v>4.5010000000000003</v>
      </c>
      <c r="V45" s="186">
        <v>0.192</v>
      </c>
      <c r="W45" s="135">
        <v>15.3</v>
      </c>
      <c r="X45" s="137">
        <v>4.63</v>
      </c>
      <c r="Y45" s="185">
        <v>0.19719999999999999</v>
      </c>
      <c r="Z45" s="138">
        <v>14.8</v>
      </c>
      <c r="AA45" s="137">
        <v>4.6619999999999999</v>
      </c>
      <c r="AB45" s="186">
        <v>0.20319999999999999</v>
      </c>
      <c r="AC45" s="135">
        <v>13.8</v>
      </c>
      <c r="AD45" s="137">
        <v>4.55</v>
      </c>
      <c r="AE45" s="185">
        <v>0.19339999999999999</v>
      </c>
      <c r="AF45" s="138">
        <v>12.6</v>
      </c>
      <c r="AG45" s="137">
        <v>4.6239999999999997</v>
      </c>
      <c r="AH45" s="186">
        <v>0.19470000000000001</v>
      </c>
      <c r="AI45" s="135">
        <v>13.2</v>
      </c>
      <c r="AJ45" s="137">
        <v>4.6639999999999997</v>
      </c>
      <c r="AK45" s="185">
        <v>0.18740000000000001</v>
      </c>
    </row>
    <row r="46" spans="1:37" x14ac:dyDescent="0.35">
      <c r="A46" s="56"/>
      <c r="B46" s="56"/>
      <c r="C46" s="57"/>
      <c r="D46" s="57"/>
      <c r="E46" s="56"/>
      <c r="F46" s="57"/>
      <c r="G46" s="58"/>
      <c r="H46" s="57"/>
      <c r="I46" s="57"/>
      <c r="J46" s="187"/>
      <c r="K46" s="59"/>
      <c r="L46" s="47"/>
      <c r="M46" s="185"/>
      <c r="N46" s="138"/>
      <c r="O46" s="137"/>
      <c r="P46" s="186"/>
      <c r="Q46" s="135"/>
      <c r="R46" s="137"/>
      <c r="S46" s="185"/>
      <c r="T46" s="138">
        <v>14.6</v>
      </c>
      <c r="U46" s="137">
        <v>4.6180000000000003</v>
      </c>
      <c r="V46" s="186">
        <v>0.19689999999999999</v>
      </c>
      <c r="W46" s="135">
        <v>15.4</v>
      </c>
      <c r="X46" s="137">
        <v>4.7629999999999999</v>
      </c>
      <c r="Y46" s="185">
        <v>0.19719999999999999</v>
      </c>
      <c r="Z46" s="138">
        <v>15</v>
      </c>
      <c r="AA46" s="137">
        <v>4.8049999999999997</v>
      </c>
      <c r="AB46" s="186">
        <v>0.19839999999999999</v>
      </c>
      <c r="AC46" s="135">
        <v>13.9</v>
      </c>
      <c r="AD46" s="137">
        <v>4.6509999999999998</v>
      </c>
      <c r="AE46" s="185">
        <v>0.1951</v>
      </c>
      <c r="AF46" s="138">
        <v>12.7</v>
      </c>
      <c r="AG46" s="137">
        <v>4.7409999999999997</v>
      </c>
      <c r="AH46" s="186">
        <v>0.19689999999999999</v>
      </c>
      <c r="AI46" s="135">
        <v>13.3</v>
      </c>
      <c r="AJ46" s="137">
        <v>4.766</v>
      </c>
      <c r="AK46" s="185">
        <v>0.187</v>
      </c>
    </row>
    <row r="47" spans="1:37" x14ac:dyDescent="0.35">
      <c r="A47" s="56"/>
      <c r="B47" s="56"/>
      <c r="C47" s="57"/>
      <c r="D47" s="57"/>
      <c r="E47" s="56"/>
      <c r="F47" s="57"/>
      <c r="G47" s="58"/>
      <c r="H47" s="57"/>
      <c r="I47" s="57"/>
      <c r="J47" s="187"/>
      <c r="K47" s="59"/>
      <c r="L47" s="47"/>
      <c r="M47" s="185"/>
      <c r="N47" s="138"/>
      <c r="O47" s="137"/>
      <c r="P47" s="186"/>
      <c r="Q47" s="135"/>
      <c r="R47" s="137"/>
      <c r="S47" s="185"/>
      <c r="T47" s="138">
        <v>14.8</v>
      </c>
      <c r="U47" s="137">
        <v>4.7389999999999999</v>
      </c>
      <c r="V47" s="186">
        <v>0.2026</v>
      </c>
      <c r="W47" s="135">
        <v>15.6</v>
      </c>
      <c r="X47" s="137">
        <v>4.8970000000000002</v>
      </c>
      <c r="Y47" s="185">
        <v>0.20780000000000001</v>
      </c>
      <c r="Z47" s="138">
        <v>15</v>
      </c>
      <c r="AA47" s="137">
        <v>4.9160000000000004</v>
      </c>
      <c r="AB47" s="186">
        <v>0.20150000000000001</v>
      </c>
      <c r="AC47" s="135">
        <v>14.1</v>
      </c>
      <c r="AD47" s="137">
        <v>4.78</v>
      </c>
      <c r="AE47" s="185">
        <v>0.1956</v>
      </c>
      <c r="AF47" s="138">
        <v>12.9</v>
      </c>
      <c r="AG47" s="137">
        <v>4.8819999999999997</v>
      </c>
      <c r="AH47" s="186">
        <v>0.20180000000000001</v>
      </c>
      <c r="AI47" s="135">
        <v>13.4</v>
      </c>
      <c r="AJ47" s="137">
        <v>4.875</v>
      </c>
      <c r="AK47" s="185">
        <v>0.1948</v>
      </c>
    </row>
    <row r="48" spans="1:37" x14ac:dyDescent="0.35">
      <c r="A48" s="56"/>
      <c r="B48" s="56"/>
      <c r="C48" s="57"/>
      <c r="D48" s="57"/>
      <c r="E48" s="56"/>
      <c r="F48" s="57"/>
      <c r="G48" s="58"/>
      <c r="H48" s="57"/>
      <c r="I48" s="57"/>
      <c r="J48" s="187"/>
      <c r="K48" s="59"/>
      <c r="L48" s="47"/>
      <c r="M48" s="185"/>
      <c r="N48" s="138"/>
      <c r="O48" s="137"/>
      <c r="P48" s="186"/>
      <c r="Q48" s="135"/>
      <c r="R48" s="137"/>
      <c r="S48" s="185"/>
      <c r="T48" s="138">
        <v>15</v>
      </c>
      <c r="U48" s="137">
        <v>4.8520000000000003</v>
      </c>
      <c r="V48" s="186">
        <v>0.20649999999999999</v>
      </c>
      <c r="W48" s="135">
        <v>15.8</v>
      </c>
      <c r="X48" s="137">
        <v>4.9969999999999999</v>
      </c>
      <c r="Y48" s="185">
        <v>0.21260000000000001</v>
      </c>
      <c r="Z48" s="138">
        <v>15.1</v>
      </c>
      <c r="AA48" s="137">
        <v>5.0199999999999996</v>
      </c>
      <c r="AB48" s="186">
        <v>0.2089</v>
      </c>
      <c r="AC48" s="135">
        <v>14.3</v>
      </c>
      <c r="AD48" s="137">
        <v>4.8959999999999999</v>
      </c>
      <c r="AE48" s="185">
        <v>0.20660000000000001</v>
      </c>
      <c r="AF48" s="138">
        <v>13.1</v>
      </c>
      <c r="AG48" s="137">
        <v>4.9939999999999998</v>
      </c>
      <c r="AH48" s="186">
        <v>0.20619999999999999</v>
      </c>
      <c r="AI48" s="135">
        <v>13.6</v>
      </c>
      <c r="AJ48" s="137">
        <v>4.9859999999999998</v>
      </c>
      <c r="AK48" s="185">
        <v>0.20050000000000001</v>
      </c>
    </row>
    <row r="49" spans="1:37" x14ac:dyDescent="0.35">
      <c r="A49" s="56"/>
      <c r="B49" s="56"/>
      <c r="C49" s="57"/>
      <c r="D49" s="57"/>
      <c r="E49" s="56"/>
      <c r="F49" s="57"/>
      <c r="G49" s="58"/>
      <c r="H49" s="57"/>
      <c r="I49" s="57"/>
      <c r="J49" s="187"/>
      <c r="K49" s="59"/>
      <c r="L49" s="47"/>
      <c r="M49" s="185"/>
      <c r="N49" s="138"/>
      <c r="O49" s="137"/>
      <c r="P49" s="186"/>
      <c r="Q49" s="135"/>
      <c r="R49" s="137"/>
      <c r="S49" s="185"/>
      <c r="T49" s="138">
        <v>15.1</v>
      </c>
      <c r="U49" s="137">
        <v>4.952</v>
      </c>
      <c r="V49" s="186">
        <v>0.21179999999999999</v>
      </c>
      <c r="W49" s="135">
        <v>16</v>
      </c>
      <c r="X49" s="137">
        <v>5.12</v>
      </c>
      <c r="Y49" s="185">
        <v>0.2263</v>
      </c>
      <c r="Z49" s="138">
        <v>15.3</v>
      </c>
      <c r="AA49" s="137">
        <v>5.16</v>
      </c>
      <c r="AB49" s="186">
        <v>0.21679999999999999</v>
      </c>
      <c r="AC49" s="135">
        <v>14.4</v>
      </c>
      <c r="AD49" s="137">
        <v>5.0030000000000001</v>
      </c>
      <c r="AE49" s="185">
        <v>0.20880000000000001</v>
      </c>
      <c r="AF49" s="138">
        <v>13.4</v>
      </c>
      <c r="AG49" s="137">
        <v>5.1059999999999999</v>
      </c>
      <c r="AH49" s="186">
        <v>0.21640000000000001</v>
      </c>
      <c r="AI49" s="135">
        <v>13.8</v>
      </c>
      <c r="AJ49" s="137">
        <v>5.1120000000000001</v>
      </c>
      <c r="AK49" s="185">
        <v>0.20749999999999999</v>
      </c>
    </row>
    <row r="50" spans="1:37" x14ac:dyDescent="0.35">
      <c r="A50" s="56"/>
      <c r="B50" s="56"/>
      <c r="C50" s="57"/>
      <c r="D50" s="57"/>
      <c r="E50" s="56"/>
      <c r="F50" s="57"/>
      <c r="G50" s="58"/>
      <c r="H50" s="57"/>
      <c r="I50" s="57"/>
      <c r="J50" s="187"/>
      <c r="K50" s="59"/>
      <c r="L50" s="47"/>
      <c r="M50" s="188"/>
      <c r="N50" s="138"/>
      <c r="O50" s="137"/>
      <c r="P50" s="189"/>
      <c r="Q50" s="135"/>
      <c r="R50" s="137"/>
      <c r="S50" s="188"/>
      <c r="T50" s="138">
        <v>15.3</v>
      </c>
      <c r="U50" s="137">
        <v>5.0549999999999997</v>
      </c>
      <c r="V50" s="186">
        <v>0.2175</v>
      </c>
      <c r="W50" s="135">
        <v>16.100000000000001</v>
      </c>
      <c r="X50" s="137">
        <v>5.2309999999999999</v>
      </c>
      <c r="Y50" s="185">
        <v>0.2268</v>
      </c>
      <c r="Z50" s="138">
        <v>15.5</v>
      </c>
      <c r="AA50" s="137">
        <v>5.3120000000000003</v>
      </c>
      <c r="AB50" s="186">
        <v>0.22370000000000001</v>
      </c>
      <c r="AC50" s="135">
        <v>14.6</v>
      </c>
      <c r="AD50" s="137">
        <v>5.133</v>
      </c>
      <c r="AE50" s="185">
        <v>0.2145</v>
      </c>
      <c r="AF50" s="138">
        <v>13.5</v>
      </c>
      <c r="AG50" s="137">
        <v>5.234</v>
      </c>
      <c r="AH50" s="186">
        <v>0.22040000000000001</v>
      </c>
      <c r="AI50" s="135">
        <v>14</v>
      </c>
      <c r="AJ50" s="137">
        <v>5.25</v>
      </c>
      <c r="AK50" s="185">
        <v>0.21529999999999999</v>
      </c>
    </row>
    <row r="51" spans="1:37" x14ac:dyDescent="0.35">
      <c r="A51" s="56"/>
      <c r="B51" s="56"/>
      <c r="C51" s="57"/>
      <c r="D51" s="57"/>
      <c r="E51" s="56"/>
      <c r="F51" s="57"/>
      <c r="G51" s="58"/>
      <c r="H51" s="57"/>
      <c r="I51" s="57"/>
      <c r="J51" s="187"/>
      <c r="K51" s="59"/>
      <c r="L51" s="47"/>
      <c r="M51" s="188"/>
      <c r="N51" s="47"/>
      <c r="O51" s="137"/>
      <c r="P51" s="189"/>
      <c r="Q51" s="135"/>
      <c r="R51" s="137"/>
      <c r="S51" s="188"/>
      <c r="T51" s="138">
        <v>15.5</v>
      </c>
      <c r="U51" s="137">
        <v>5.1710000000000003</v>
      </c>
      <c r="V51" s="186">
        <v>0.22459999999999999</v>
      </c>
      <c r="W51" s="135">
        <v>16.399999999999999</v>
      </c>
      <c r="X51" s="137">
        <v>5.3529999999999998</v>
      </c>
      <c r="Y51" s="185">
        <v>0.23910000000000001</v>
      </c>
      <c r="Z51" s="138">
        <v>15.6</v>
      </c>
      <c r="AA51" s="137">
        <v>5.423</v>
      </c>
      <c r="AB51" s="186">
        <v>0.22850000000000001</v>
      </c>
      <c r="AC51" s="135">
        <v>14.9</v>
      </c>
      <c r="AD51" s="137">
        <v>5.2409999999999997</v>
      </c>
      <c r="AE51" s="185">
        <v>0.2225</v>
      </c>
      <c r="AF51" s="138">
        <v>13.7</v>
      </c>
      <c r="AG51" s="137">
        <v>5.3419999999999996</v>
      </c>
      <c r="AH51" s="186">
        <v>0.22969999999999999</v>
      </c>
      <c r="AI51" s="135">
        <v>14.2</v>
      </c>
      <c r="AJ51" s="137">
        <v>5.3529999999999998</v>
      </c>
      <c r="AK51" s="185">
        <v>0.22620000000000001</v>
      </c>
    </row>
    <row r="52" spans="1:37" x14ac:dyDescent="0.35">
      <c r="A52" s="56"/>
      <c r="B52" s="56"/>
      <c r="C52" s="57"/>
      <c r="D52" s="57"/>
      <c r="E52" s="56"/>
      <c r="F52" s="57"/>
      <c r="G52" s="58"/>
      <c r="H52" s="57"/>
      <c r="I52" s="57"/>
      <c r="J52" s="187"/>
      <c r="K52" s="59"/>
      <c r="L52" s="47"/>
      <c r="M52" s="188"/>
      <c r="N52" s="47"/>
      <c r="O52" s="137"/>
      <c r="P52" s="189"/>
      <c r="Q52" s="135"/>
      <c r="R52" s="137"/>
      <c r="S52" s="188"/>
      <c r="T52" s="138">
        <v>15.6</v>
      </c>
      <c r="U52" s="137">
        <v>5.3129999999999997</v>
      </c>
      <c r="V52" s="186">
        <v>0.2298</v>
      </c>
      <c r="W52" s="135">
        <v>16.5</v>
      </c>
      <c r="X52" s="137">
        <v>5.46</v>
      </c>
      <c r="Y52" s="185">
        <v>0.23519999999999999</v>
      </c>
      <c r="Z52" s="138">
        <v>20.6</v>
      </c>
      <c r="AA52" s="137">
        <v>5.492</v>
      </c>
      <c r="AB52" s="186">
        <v>0.24249999999999999</v>
      </c>
      <c r="AC52" s="135">
        <v>15</v>
      </c>
      <c r="AD52" s="137">
        <v>5.3730000000000002</v>
      </c>
      <c r="AE52" s="185">
        <v>0.2296</v>
      </c>
      <c r="AF52" s="138">
        <v>13.8</v>
      </c>
      <c r="AG52" s="137">
        <v>5.4530000000000003</v>
      </c>
      <c r="AH52" s="186">
        <v>0.23150000000000001</v>
      </c>
      <c r="AI52" s="135">
        <v>14.3</v>
      </c>
      <c r="AJ52" s="137">
        <v>5.4779999999999998</v>
      </c>
      <c r="AK52" s="185">
        <v>0.23269999999999999</v>
      </c>
    </row>
    <row r="53" spans="1:37" x14ac:dyDescent="0.35">
      <c r="A53" s="56"/>
      <c r="B53" s="56"/>
      <c r="C53" s="57"/>
      <c r="D53" s="57"/>
      <c r="E53" s="56"/>
      <c r="F53" s="57"/>
      <c r="G53" s="58"/>
      <c r="H53" s="57"/>
      <c r="I53" s="57"/>
      <c r="J53" s="187"/>
      <c r="K53" s="59"/>
      <c r="L53" s="47"/>
      <c r="M53" s="188"/>
      <c r="N53" s="47"/>
      <c r="O53" s="47"/>
      <c r="P53" s="189"/>
      <c r="Q53" s="135"/>
      <c r="R53" s="137"/>
      <c r="S53" s="140"/>
      <c r="T53" s="138">
        <v>15.9</v>
      </c>
      <c r="U53" s="137">
        <v>5.4249999999999998</v>
      </c>
      <c r="V53" s="186">
        <v>0.2329</v>
      </c>
      <c r="W53" s="135">
        <v>21.5</v>
      </c>
      <c r="X53" s="137">
        <v>5.5060000000000002</v>
      </c>
      <c r="Y53" s="185">
        <v>0.2467</v>
      </c>
      <c r="Z53" s="138"/>
      <c r="AA53" s="137"/>
      <c r="AB53" s="186"/>
      <c r="AC53" s="135">
        <v>15.2</v>
      </c>
      <c r="AD53" s="137">
        <v>5.49</v>
      </c>
      <c r="AE53" s="185">
        <v>0.24099999999999999</v>
      </c>
      <c r="AF53" s="138">
        <v>14</v>
      </c>
      <c r="AG53" s="137">
        <v>5.585</v>
      </c>
      <c r="AH53" s="186">
        <v>0.23910000000000001</v>
      </c>
      <c r="AI53" s="135">
        <v>14.4</v>
      </c>
      <c r="AJ53" s="137">
        <v>5.6109999999999998</v>
      </c>
      <c r="AK53" s="185">
        <v>0.23269999999999999</v>
      </c>
    </row>
    <row r="54" spans="1:37" x14ac:dyDescent="0.35">
      <c r="A54" s="56"/>
      <c r="B54" s="56"/>
      <c r="C54" s="57"/>
      <c r="D54" s="57"/>
      <c r="E54" s="56"/>
      <c r="F54" s="57"/>
      <c r="G54" s="58"/>
      <c r="H54" s="57"/>
      <c r="I54" s="57"/>
      <c r="J54" s="187"/>
      <c r="K54" s="59"/>
      <c r="L54" s="47"/>
      <c r="M54" s="188"/>
      <c r="N54" s="47"/>
      <c r="O54" s="47"/>
      <c r="P54" s="189"/>
      <c r="Q54" s="135"/>
      <c r="R54" s="137"/>
      <c r="S54" s="140"/>
      <c r="T54" s="138">
        <v>20.9</v>
      </c>
      <c r="U54" s="137">
        <v>5.4950000000000001</v>
      </c>
      <c r="V54" s="186">
        <v>0.24260000000000001</v>
      </c>
      <c r="W54" s="135"/>
      <c r="X54" s="137"/>
      <c r="Y54" s="185"/>
      <c r="Z54" s="138"/>
      <c r="AA54" s="137"/>
      <c r="AB54" s="186"/>
      <c r="AC54" s="135">
        <v>15.4</v>
      </c>
      <c r="AD54" s="137">
        <v>5.6349999999999998</v>
      </c>
      <c r="AE54" s="185">
        <v>0.24540000000000001</v>
      </c>
      <c r="AF54" s="138">
        <v>14.2</v>
      </c>
      <c r="AG54" s="137">
        <v>5.6890000000000001</v>
      </c>
      <c r="AH54" s="186">
        <v>0.24879999999999999</v>
      </c>
      <c r="AI54" s="135">
        <v>14.6</v>
      </c>
      <c r="AJ54" s="137">
        <v>5.7409999999999997</v>
      </c>
      <c r="AK54" s="185">
        <v>0.23710000000000001</v>
      </c>
    </row>
    <row r="55" spans="1:37" x14ac:dyDescent="0.35">
      <c r="A55" s="56"/>
      <c r="B55" s="56"/>
      <c r="C55" s="57"/>
      <c r="D55" s="57"/>
      <c r="E55" s="56"/>
      <c r="F55" s="57"/>
      <c r="G55" s="58"/>
      <c r="H55" s="57"/>
      <c r="I55" s="57"/>
      <c r="J55" s="187"/>
      <c r="K55" s="56"/>
      <c r="L55" s="57"/>
      <c r="M55" s="185"/>
      <c r="N55" s="47"/>
      <c r="O55" s="47"/>
      <c r="P55" s="189"/>
      <c r="Q55" s="59"/>
      <c r="R55" s="47"/>
      <c r="S55" s="140"/>
      <c r="T55" s="138"/>
      <c r="U55" s="137"/>
      <c r="V55" s="186"/>
      <c r="W55" s="135"/>
      <c r="X55" s="137"/>
      <c r="Y55" s="185"/>
      <c r="Z55" s="138"/>
      <c r="AA55" s="137"/>
      <c r="AB55" s="186"/>
      <c r="AC55" s="135">
        <v>15.5</v>
      </c>
      <c r="AD55" s="137">
        <v>5.7439999999999998</v>
      </c>
      <c r="AE55" s="185">
        <v>0.2525</v>
      </c>
      <c r="AF55" s="138">
        <v>14.3</v>
      </c>
      <c r="AG55" s="137">
        <v>5.8090000000000002</v>
      </c>
      <c r="AH55" s="186">
        <v>0.2422</v>
      </c>
      <c r="AI55" s="135">
        <v>14.8</v>
      </c>
      <c r="AJ55" s="137">
        <v>5.8419999999999996</v>
      </c>
      <c r="AK55" s="185">
        <v>0.24840000000000001</v>
      </c>
    </row>
    <row r="56" spans="1:37" x14ac:dyDescent="0.35">
      <c r="A56" s="56"/>
      <c r="B56" s="56"/>
      <c r="C56" s="57"/>
      <c r="D56" s="57"/>
      <c r="E56" s="56"/>
      <c r="F56" s="57"/>
      <c r="G56" s="58"/>
      <c r="H56" s="57"/>
      <c r="I56" s="57"/>
      <c r="J56" s="57"/>
      <c r="K56" s="56"/>
      <c r="L56" s="57"/>
      <c r="M56" s="185"/>
      <c r="N56" s="47"/>
      <c r="O56" s="47"/>
      <c r="P56" s="189"/>
      <c r="Q56" s="59"/>
      <c r="R56" s="47"/>
      <c r="S56" s="140"/>
      <c r="T56" s="138"/>
      <c r="U56" s="137"/>
      <c r="V56" s="186"/>
      <c r="W56" s="135"/>
      <c r="X56" s="137"/>
      <c r="Y56" s="185"/>
      <c r="Z56" s="138"/>
      <c r="AA56" s="137"/>
      <c r="AB56" s="186"/>
      <c r="AC56" s="135">
        <v>15.7</v>
      </c>
      <c r="AD56" s="137">
        <v>5.8760000000000003</v>
      </c>
      <c r="AE56" s="185">
        <v>0.25740000000000002</v>
      </c>
      <c r="AF56" s="138">
        <v>14.4</v>
      </c>
      <c r="AG56" s="137">
        <v>5.91</v>
      </c>
      <c r="AH56" s="186">
        <v>0.24840000000000001</v>
      </c>
      <c r="AI56" s="135">
        <v>15</v>
      </c>
      <c r="AJ56" s="137">
        <v>5.9660000000000002</v>
      </c>
      <c r="AK56" s="185">
        <v>0.24970000000000001</v>
      </c>
    </row>
    <row r="57" spans="1:37" x14ac:dyDescent="0.35">
      <c r="A57" s="56"/>
      <c r="B57" s="56"/>
      <c r="C57" s="57"/>
      <c r="D57" s="57"/>
      <c r="E57" s="56"/>
      <c r="F57" s="57"/>
      <c r="G57" s="58"/>
      <c r="H57" s="57"/>
      <c r="I57" s="57"/>
      <c r="J57" s="57"/>
      <c r="K57" s="56"/>
      <c r="L57" s="57"/>
      <c r="M57" s="185"/>
      <c r="N57" s="47"/>
      <c r="O57" s="47"/>
      <c r="P57" s="189"/>
      <c r="Q57" s="56"/>
      <c r="R57" s="57"/>
      <c r="S57" s="58"/>
      <c r="T57" s="47"/>
      <c r="U57" s="137"/>
      <c r="V57" s="186"/>
      <c r="W57" s="135"/>
      <c r="X57" s="137"/>
      <c r="Y57" s="188"/>
      <c r="Z57" s="47"/>
      <c r="AA57" s="137"/>
      <c r="AB57" s="186"/>
      <c r="AC57" s="135">
        <v>15.9</v>
      </c>
      <c r="AD57" s="137">
        <v>5.9790000000000001</v>
      </c>
      <c r="AE57" s="185">
        <v>0.25650000000000001</v>
      </c>
      <c r="AF57" s="138">
        <v>14.6</v>
      </c>
      <c r="AG57" s="137">
        <v>6.0410000000000004</v>
      </c>
      <c r="AH57" s="186">
        <v>0.26079999999999998</v>
      </c>
      <c r="AI57" s="135">
        <v>15.2</v>
      </c>
      <c r="AJ57" s="137">
        <v>6.1020000000000003</v>
      </c>
      <c r="AK57" s="185">
        <v>0.2545</v>
      </c>
    </row>
    <row r="58" spans="1:37" x14ac:dyDescent="0.35">
      <c r="A58" s="56"/>
      <c r="B58" s="56"/>
      <c r="C58" s="57"/>
      <c r="D58" s="57"/>
      <c r="E58" s="56"/>
      <c r="F58" s="57"/>
      <c r="G58" s="58"/>
      <c r="H58" s="57"/>
      <c r="I58" s="57"/>
      <c r="J58" s="57"/>
      <c r="K58" s="56"/>
      <c r="L58" s="57"/>
      <c r="M58" s="185"/>
      <c r="N58" s="47"/>
      <c r="O58" s="47"/>
      <c r="P58" s="47"/>
      <c r="Q58" s="56"/>
      <c r="R58" s="57"/>
      <c r="S58" s="58"/>
      <c r="T58" s="47"/>
      <c r="U58" s="137"/>
      <c r="V58" s="186"/>
      <c r="W58" s="135"/>
      <c r="X58" s="137"/>
      <c r="Y58" s="140"/>
      <c r="Z58" s="47"/>
      <c r="AA58" s="137"/>
      <c r="AC58" s="135">
        <v>16.100000000000001</v>
      </c>
      <c r="AD58" s="137">
        <v>6.1020000000000003</v>
      </c>
      <c r="AE58" s="185">
        <v>0.26800000000000002</v>
      </c>
      <c r="AF58" s="138">
        <v>14.7</v>
      </c>
      <c r="AG58" s="137">
        <v>6.1520000000000001</v>
      </c>
      <c r="AH58" s="186">
        <v>0.25950000000000001</v>
      </c>
      <c r="AI58" s="135">
        <v>15.4</v>
      </c>
      <c r="AJ58" s="137">
        <v>6.23</v>
      </c>
      <c r="AK58" s="185">
        <v>0.2606</v>
      </c>
    </row>
    <row r="59" spans="1:37" x14ac:dyDescent="0.35">
      <c r="A59" s="56"/>
      <c r="B59" s="56"/>
      <c r="C59" s="57"/>
      <c r="D59" s="57"/>
      <c r="E59" s="56"/>
      <c r="F59" s="57"/>
      <c r="G59" s="58"/>
      <c r="H59" s="57"/>
      <c r="I59" s="57"/>
      <c r="J59" s="57"/>
      <c r="K59" s="56"/>
      <c r="L59" s="57"/>
      <c r="M59" s="185"/>
      <c r="N59" s="47"/>
      <c r="O59" s="47"/>
      <c r="P59" s="47"/>
      <c r="Q59" s="56"/>
      <c r="R59" s="57"/>
      <c r="S59" s="58"/>
      <c r="T59" s="47"/>
      <c r="U59" s="47"/>
      <c r="V59" s="189"/>
      <c r="W59" s="59"/>
      <c r="X59" s="47"/>
      <c r="Y59" s="140"/>
      <c r="Z59" s="47"/>
      <c r="AA59" s="47"/>
      <c r="AB59" s="47"/>
      <c r="AC59" s="135">
        <v>16.3</v>
      </c>
      <c r="AD59" s="137">
        <v>6.2160000000000002</v>
      </c>
      <c r="AE59" s="185">
        <v>0.27279999999999999</v>
      </c>
      <c r="AF59" s="138">
        <v>14.9</v>
      </c>
      <c r="AG59" s="137">
        <v>6.2709999999999999</v>
      </c>
      <c r="AH59" s="186">
        <v>0.26879999999999998</v>
      </c>
      <c r="AI59" s="135">
        <v>15.6</v>
      </c>
      <c r="AJ59" s="137">
        <v>6.3440000000000003</v>
      </c>
      <c r="AK59" s="185">
        <v>0.26150000000000001</v>
      </c>
    </row>
    <row r="60" spans="1:37" x14ac:dyDescent="0.35">
      <c r="A60" s="56"/>
      <c r="B60" s="56"/>
      <c r="C60" s="57"/>
      <c r="D60" s="57"/>
      <c r="E60" s="56"/>
      <c r="F60" s="57"/>
      <c r="G60" s="58"/>
      <c r="H60" s="57"/>
      <c r="I60" s="57"/>
      <c r="J60" s="57"/>
      <c r="K60" s="56"/>
      <c r="L60" s="57"/>
      <c r="M60" s="185"/>
      <c r="N60" s="57"/>
      <c r="O60" s="57"/>
      <c r="P60" s="57"/>
      <c r="Q60" s="56"/>
      <c r="R60" s="57"/>
      <c r="S60" s="58"/>
      <c r="T60" s="47"/>
      <c r="U60" s="47"/>
      <c r="V60" s="189"/>
      <c r="W60" s="59"/>
      <c r="X60" s="47"/>
      <c r="Y60" s="140"/>
      <c r="Z60" s="47"/>
      <c r="AA60" s="47"/>
      <c r="AB60" s="47"/>
      <c r="AC60" s="135">
        <v>16.399999999999999</v>
      </c>
      <c r="AD60" s="137">
        <v>6.3159999999999998</v>
      </c>
      <c r="AE60" s="185">
        <v>0.27550000000000002</v>
      </c>
      <c r="AF60" s="138">
        <v>19.899999999999999</v>
      </c>
      <c r="AG60" s="137">
        <v>6.3339999999999996</v>
      </c>
      <c r="AH60" s="186">
        <v>0.27850000000000003</v>
      </c>
      <c r="AI60" s="135">
        <v>20.6</v>
      </c>
      <c r="AJ60" s="137">
        <v>6.343</v>
      </c>
      <c r="AK60" s="185">
        <v>0.27150000000000002</v>
      </c>
    </row>
    <row r="61" spans="1:37" x14ac:dyDescent="0.35">
      <c r="A61" s="61"/>
      <c r="B61" s="61"/>
      <c r="C61" s="60"/>
      <c r="D61" s="60"/>
      <c r="E61" s="61"/>
      <c r="F61" s="60"/>
      <c r="G61" s="62"/>
      <c r="H61" s="60"/>
      <c r="I61" s="60"/>
      <c r="J61" s="60"/>
      <c r="K61" s="61"/>
      <c r="L61" s="60"/>
      <c r="M61" s="62"/>
      <c r="N61" s="60"/>
      <c r="O61" s="60"/>
      <c r="P61" s="60"/>
      <c r="Q61" s="61"/>
      <c r="R61" s="60"/>
      <c r="S61" s="62"/>
      <c r="T61" s="60"/>
      <c r="U61" s="60"/>
      <c r="V61" s="190"/>
      <c r="W61" s="61"/>
      <c r="X61" s="60"/>
      <c r="Y61" s="62"/>
      <c r="Z61" s="60"/>
      <c r="AA61" s="60"/>
      <c r="AB61" s="60"/>
      <c r="AC61" s="141">
        <v>21.4</v>
      </c>
      <c r="AD61" s="142">
        <v>6.3449999999999998</v>
      </c>
      <c r="AE61" s="191">
        <v>0.28120000000000001</v>
      </c>
      <c r="AF61" s="60"/>
      <c r="AG61" s="60"/>
      <c r="AH61" s="60"/>
      <c r="AI61" s="61"/>
      <c r="AJ61" s="60"/>
      <c r="AK61" s="62"/>
    </row>
    <row r="62" spans="1:37" x14ac:dyDescent="0.35">
      <c r="A62" s="1" t="s">
        <v>608</v>
      </c>
    </row>
    <row r="63" spans="1:37" x14ac:dyDescent="0.35">
      <c r="A63" s="67" t="s">
        <v>654</v>
      </c>
    </row>
    <row r="64" spans="1:37" s="1" customFormat="1" x14ac:dyDescent="0.35">
      <c r="A64" s="1" t="s">
        <v>607</v>
      </c>
    </row>
    <row r="65" spans="3:37" x14ac:dyDescent="0.35">
      <c r="F65" s="1"/>
      <c r="I65" s="1"/>
      <c r="L65" s="1"/>
      <c r="O65" s="1"/>
      <c r="R65" s="1"/>
      <c r="U65" s="1"/>
      <c r="X65" s="1"/>
      <c r="AA65" s="1"/>
      <c r="AD65" s="1"/>
      <c r="AH65" s="1"/>
      <c r="AJ65" s="1"/>
    </row>
    <row r="66" spans="3:37" x14ac:dyDescent="0.35">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row>
    <row r="67" spans="3:37" x14ac:dyDescent="0.35">
      <c r="C67" s="55"/>
      <c r="D67" s="55"/>
      <c r="E67" s="55"/>
      <c r="F67" s="55"/>
      <c r="G67" s="55"/>
      <c r="H67" s="55"/>
      <c r="I67" s="55"/>
      <c r="J67" s="55"/>
      <c r="K67" s="55"/>
      <c r="L67" s="55"/>
      <c r="M67" s="55"/>
      <c r="N67" s="55"/>
      <c r="O67" s="55"/>
      <c r="P67" s="55"/>
      <c r="Q67" s="55"/>
      <c r="R67" s="63"/>
      <c r="S67" s="55"/>
      <c r="T67" s="63"/>
      <c r="U67" s="55"/>
      <c r="V67" s="55"/>
      <c r="W67" s="55"/>
      <c r="X67" s="63"/>
      <c r="Y67" s="55"/>
      <c r="Z67" s="63"/>
      <c r="AA67" s="55"/>
      <c r="AB67" s="55"/>
      <c r="AC67" s="55"/>
      <c r="AD67" s="55"/>
      <c r="AE67" s="55"/>
      <c r="AF67" s="55"/>
      <c r="AG67" s="55"/>
      <c r="AH67" s="55"/>
      <c r="AI67" s="55"/>
      <c r="AJ67" s="55"/>
    </row>
    <row r="68" spans="3:37" x14ac:dyDescent="0.35">
      <c r="U68" s="1"/>
      <c r="X68" s="1"/>
      <c r="AA68" s="1"/>
      <c r="AD68" s="1"/>
      <c r="AH68" s="1"/>
    </row>
    <row r="69" spans="3:37" x14ac:dyDescent="0.35">
      <c r="D69" s="52"/>
      <c r="F69" s="52"/>
      <c r="G69" s="64"/>
      <c r="H69" s="52"/>
      <c r="I69" s="52"/>
      <c r="J69" s="64"/>
      <c r="K69" s="52"/>
      <c r="L69" s="52"/>
      <c r="M69" s="52"/>
      <c r="N69" s="52"/>
      <c r="O69" s="52"/>
      <c r="P69" s="64"/>
      <c r="Q69" s="52"/>
      <c r="R69" s="52"/>
      <c r="S69" s="64"/>
      <c r="T69" s="52"/>
      <c r="U69" s="52"/>
      <c r="V69" s="64"/>
      <c r="W69" s="52"/>
      <c r="X69" s="52"/>
      <c r="Y69" s="64"/>
      <c r="Z69" s="52"/>
      <c r="AA69" s="52"/>
      <c r="AB69" s="64"/>
      <c r="AC69" s="52"/>
      <c r="AD69" s="52"/>
      <c r="AE69" s="64"/>
      <c r="AF69" s="52"/>
      <c r="AG69" s="64"/>
      <c r="AH69" s="52"/>
      <c r="AI69" s="52"/>
      <c r="AJ69" s="52"/>
      <c r="AK69" s="64"/>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C4054-238E-4BE4-8D22-B189DA41DD35}">
  <sheetPr codeName="Sheet21"/>
  <dimension ref="A1:D8"/>
  <sheetViews>
    <sheetView zoomScale="55" zoomScaleNormal="55" workbookViewId="0">
      <selection sqref="A1:XFD1048576"/>
    </sheetView>
  </sheetViews>
  <sheetFormatPr defaultColWidth="8.83203125" defaultRowHeight="15.5" x14ac:dyDescent="0.35"/>
  <cols>
    <col min="1" max="1" width="72.08203125" bestFit="1" customWidth="1"/>
    <col min="2" max="2" width="10.33203125" bestFit="1" customWidth="1"/>
    <col min="3" max="3" width="4.5" bestFit="1" customWidth="1"/>
    <col min="4" max="4" width="109.83203125" bestFit="1" customWidth="1"/>
    <col min="7" max="7" width="13.08203125" customWidth="1"/>
    <col min="8" max="8" width="30.5" customWidth="1"/>
    <col min="11" max="11" width="81.08203125" customWidth="1"/>
  </cols>
  <sheetData>
    <row r="1" spans="1:4" s="1" customFormat="1" x14ac:dyDescent="0.35">
      <c r="A1" s="41" t="s">
        <v>664</v>
      </c>
      <c r="D1" s="129"/>
    </row>
    <row r="2" spans="1:4" x14ac:dyDescent="0.35">
      <c r="A2" s="16" t="s">
        <v>627</v>
      </c>
      <c r="B2" s="16" t="s">
        <v>484</v>
      </c>
      <c r="C2" s="16" t="s">
        <v>464</v>
      </c>
      <c r="D2" s="16" t="s">
        <v>485</v>
      </c>
    </row>
    <row r="3" spans="1:4" ht="31" x14ac:dyDescent="0.35">
      <c r="A3" s="91" t="s">
        <v>551</v>
      </c>
      <c r="B3" s="173">
        <v>0.01</v>
      </c>
      <c r="C3" s="91" t="s">
        <v>2</v>
      </c>
      <c r="D3" s="172" t="s">
        <v>671</v>
      </c>
    </row>
    <row r="4" spans="1:4" x14ac:dyDescent="0.35">
      <c r="A4" s="67" t="s">
        <v>486</v>
      </c>
      <c r="B4" s="67">
        <v>5</v>
      </c>
      <c r="C4" s="67" t="s">
        <v>314</v>
      </c>
      <c r="D4" s="67"/>
    </row>
    <row r="5" spans="1:4" x14ac:dyDescent="0.35">
      <c r="A5" s="67" t="s">
        <v>486</v>
      </c>
      <c r="B5" s="67">
        <v>0.1</v>
      </c>
      <c r="C5" s="67" t="s">
        <v>314</v>
      </c>
      <c r="D5" s="67" t="s">
        <v>552</v>
      </c>
    </row>
    <row r="6" spans="1:4" x14ac:dyDescent="0.35">
      <c r="A6" s="67" t="s">
        <v>628</v>
      </c>
      <c r="B6" s="85" t="s">
        <v>546</v>
      </c>
      <c r="C6" s="67" t="s">
        <v>314</v>
      </c>
      <c r="D6" s="67" t="s">
        <v>665</v>
      </c>
    </row>
    <row r="7" spans="1:4" x14ac:dyDescent="0.35">
      <c r="A7" s="67"/>
      <c r="B7" s="67"/>
      <c r="C7" s="67"/>
      <c r="D7" s="67"/>
    </row>
    <row r="8" spans="1:4" x14ac:dyDescent="0.35">
      <c r="A8" s="67"/>
      <c r="B8" s="67"/>
      <c r="C8" s="67"/>
      <c r="D8" s="6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2390C-C8B0-4265-BF81-AD7470D7B53B}">
  <sheetPr codeName="Sheet22"/>
  <dimension ref="A1:B15"/>
  <sheetViews>
    <sheetView zoomScale="55" zoomScaleNormal="55" workbookViewId="0">
      <selection sqref="A1:XFD1048576"/>
    </sheetView>
  </sheetViews>
  <sheetFormatPr defaultColWidth="8.83203125" defaultRowHeight="15.5" x14ac:dyDescent="0.35"/>
  <cols>
    <col min="1" max="1" width="12.08203125" bestFit="1" customWidth="1"/>
    <col min="2" max="2" width="28.08203125" bestFit="1" customWidth="1"/>
    <col min="3" max="3" width="12.58203125" bestFit="1" customWidth="1"/>
  </cols>
  <sheetData>
    <row r="1" spans="1:2" s="1" customFormat="1" x14ac:dyDescent="0.35">
      <c r="A1" s="41" t="s">
        <v>664</v>
      </c>
    </row>
    <row r="2" spans="1:2" x14ac:dyDescent="0.35">
      <c r="A2" s="16" t="s">
        <v>481</v>
      </c>
      <c r="B2" s="16" t="s">
        <v>547</v>
      </c>
    </row>
    <row r="3" spans="1:2" x14ac:dyDescent="0.35">
      <c r="A3" s="16"/>
      <c r="B3" s="16" t="s">
        <v>314</v>
      </c>
    </row>
    <row r="4" spans="1:2" x14ac:dyDescent="0.35">
      <c r="A4">
        <v>78</v>
      </c>
      <c r="B4">
        <v>30</v>
      </c>
    </row>
    <row r="5" spans="1:2" x14ac:dyDescent="0.35">
      <c r="A5">
        <v>80</v>
      </c>
      <c r="B5">
        <v>30</v>
      </c>
    </row>
    <row r="6" spans="1:2" x14ac:dyDescent="0.35">
      <c r="A6">
        <v>81</v>
      </c>
      <c r="B6">
        <v>120</v>
      </c>
    </row>
    <row r="7" spans="1:2" s="1" customFormat="1" x14ac:dyDescent="0.35">
      <c r="A7">
        <v>82</v>
      </c>
      <c r="B7">
        <v>60</v>
      </c>
    </row>
    <row r="8" spans="1:2" x14ac:dyDescent="0.35">
      <c r="A8">
        <v>85</v>
      </c>
      <c r="B8">
        <v>300</v>
      </c>
    </row>
    <row r="9" spans="1:2" x14ac:dyDescent="0.35">
      <c r="A9">
        <v>89</v>
      </c>
      <c r="B9">
        <v>30</v>
      </c>
    </row>
    <row r="10" spans="1:2" x14ac:dyDescent="0.35">
      <c r="A10">
        <v>91</v>
      </c>
      <c r="B10">
        <v>120</v>
      </c>
    </row>
    <row r="11" spans="1:2" x14ac:dyDescent="0.35">
      <c r="A11">
        <v>94</v>
      </c>
      <c r="B11">
        <v>300</v>
      </c>
    </row>
    <row r="12" spans="1:2" x14ac:dyDescent="0.35">
      <c r="A12">
        <v>95</v>
      </c>
      <c r="B12">
        <v>300</v>
      </c>
    </row>
    <row r="13" spans="1:2" x14ac:dyDescent="0.35">
      <c r="A13">
        <v>97</v>
      </c>
      <c r="B13">
        <v>60</v>
      </c>
    </row>
    <row r="14" spans="1:2" x14ac:dyDescent="0.35">
      <c r="A14">
        <v>98</v>
      </c>
      <c r="B14">
        <v>120</v>
      </c>
    </row>
    <row r="15" spans="1:2" x14ac:dyDescent="0.35">
      <c r="A15">
        <v>99</v>
      </c>
      <c r="B15">
        <v>60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82D3-8D25-40E5-8440-5DC7E76C0EE6}">
  <sheetPr codeName="Sheet23"/>
  <dimension ref="A1:A27"/>
  <sheetViews>
    <sheetView zoomScale="55" zoomScaleNormal="55" workbookViewId="0">
      <selection sqref="A1:XFD1048576"/>
    </sheetView>
  </sheetViews>
  <sheetFormatPr defaultColWidth="8.83203125" defaultRowHeight="15.5" x14ac:dyDescent="0.35"/>
  <cols>
    <col min="1" max="1" width="135.83203125" customWidth="1"/>
  </cols>
  <sheetData>
    <row r="1" spans="1:1" s="1" customFormat="1" x14ac:dyDescent="0.35">
      <c r="A1" s="41" t="s">
        <v>666</v>
      </c>
    </row>
    <row r="2" spans="1:1" ht="58" customHeight="1" x14ac:dyDescent="0.35">
      <c r="A2" s="36" t="s">
        <v>672</v>
      </c>
    </row>
    <row r="3" spans="1:1" ht="93" x14ac:dyDescent="0.35">
      <c r="A3" s="36" t="s">
        <v>673</v>
      </c>
    </row>
    <row r="4" spans="1:1" ht="57" customHeight="1" x14ac:dyDescent="0.35">
      <c r="A4" s="36" t="s">
        <v>674</v>
      </c>
    </row>
    <row r="5" spans="1:1" ht="141" customHeight="1" x14ac:dyDescent="0.35">
      <c r="A5" s="36" t="s">
        <v>675</v>
      </c>
    </row>
    <row r="27" spans="1:1" x14ac:dyDescent="0.35">
      <c r="A27" s="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592C4-5FC0-4630-8794-F9223C371BB5}">
  <sheetPr codeName="Sheet24"/>
  <dimension ref="A1:A4"/>
  <sheetViews>
    <sheetView zoomScale="55" zoomScaleNormal="55" workbookViewId="0">
      <selection sqref="A1:XFD1048576"/>
    </sheetView>
  </sheetViews>
  <sheetFormatPr defaultColWidth="8.83203125" defaultRowHeight="15.5" x14ac:dyDescent="0.35"/>
  <cols>
    <col min="1" max="1" width="129.08203125" customWidth="1"/>
  </cols>
  <sheetData>
    <row r="1" spans="1:1" s="1" customFormat="1" x14ac:dyDescent="0.35">
      <c r="A1" s="41" t="s">
        <v>667</v>
      </c>
    </row>
    <row r="2" spans="1:1" ht="23.5" customHeight="1" x14ac:dyDescent="0.35">
      <c r="A2" s="36" t="s">
        <v>676</v>
      </c>
    </row>
    <row r="3" spans="1:1" ht="39.65" customHeight="1" x14ac:dyDescent="0.35">
      <c r="A3" s="36" t="s">
        <v>677</v>
      </c>
    </row>
    <row r="4" spans="1:1" ht="169" customHeight="1" x14ac:dyDescent="0.35">
      <c r="A4" s="36"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Data-Schema-Creep_v1.1</vt:lpstr>
      <vt:lpstr>Vh5205_C-85</vt:lpstr>
      <vt:lpstr>Vh5205_C-94</vt:lpstr>
      <vt:lpstr>Vh5205_C-95</vt:lpstr>
      <vt:lpstr>Vh5205_C-81</vt:lpstr>
      <vt:lpstr>Vh5205_C-91</vt:lpstr>
      <vt:lpstr>Vh5205_C-98</vt:lpstr>
      <vt:lpstr>Vh5205_C-82</vt:lpstr>
      <vt:lpstr>Vh5205_C-97</vt:lpstr>
      <vt:lpstr>Vh5205_C-99</vt:lpstr>
      <vt:lpstr>Vh5205_C-78</vt:lpstr>
      <vt:lpstr>Vh5205_C-80</vt:lpstr>
      <vt:lpstr>Vh5205_C-89</vt:lpstr>
      <vt:lpstr>Heat_treatment</vt:lpstr>
      <vt:lpstr>Single_crystal_orientation</vt:lpstr>
      <vt:lpstr>Roughness</vt:lpstr>
      <vt:lpstr>Ch.-Comp._nominal</vt:lpstr>
      <vt:lpstr>Ch.-Comp._measured</vt:lpstr>
      <vt:lpstr>Rp0.2</vt:lpstr>
      <vt:lpstr>Loading</vt:lpstr>
      <vt:lpstr>Data-acquisition</vt:lpstr>
      <vt:lpstr>Data-acquisition-creep</vt:lpstr>
      <vt:lpstr>Primary-processed-data-series</vt:lpstr>
      <vt:lpstr>Data-processing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Ávila Calderón, Luis Alexander</cp:lastModifiedBy>
  <dcterms:created xsi:type="dcterms:W3CDTF">2022-09-16T15:50:42Z</dcterms:created>
  <dcterms:modified xsi:type="dcterms:W3CDTF">2024-10-30T13:44:58Z</dcterms:modified>
</cp:coreProperties>
</file>